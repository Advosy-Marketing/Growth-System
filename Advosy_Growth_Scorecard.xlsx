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nbound" sheetId="2" state="visible" r:id="rId4"/>
    <sheet name="Outbound" sheetId="3" state="visible" r:id="rId5"/>
    <sheet name="Dept Rollup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Scorecard</author>
  </authors>
  <commentList>
    <comment ref="A7" authorId="0">
      <text>
        <r>
          <rPr>
            <sz val="10"/>
            <rFont val="Arial"/>
            <family val="2"/>
          </rPr>
          <t xml:space="preserve">Editable goal input.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Scorecard</author>
  </authors>
  <commentList>
    <comment ref="C6" authorId="0">
      <text>
        <r>
          <rPr>
            <sz val="10"/>
            <rFont val="Arial"/>
            <family val="2"/>
          </rPr>
          <t xml:space="preserve">Auto-summed from Inbound 'Leads Received'. Overwrite a cell if you track extra lead sources at the dept level.</t>
        </r>
      </text>
    </comment>
  </commentList>
</comments>
</file>

<file path=xl/sharedStrings.xml><?xml version="1.0" encoding="utf-8"?>
<sst xmlns="http://schemas.openxmlformats.org/spreadsheetml/2006/main" count="54" uniqueCount="40">
  <si>
    <t xml:space="preserve">ADVOSY GROWTH — Scorecard Dashboard</t>
  </si>
  <si>
    <t xml:space="preserve">Live rollup of Inbound + Outbound. Update team tabs weekly; this view recalculates.</t>
  </si>
  <si>
    <t xml:space="preserve">12-MONTH TOPLINE GOAL</t>
  </si>
  <si>
    <t xml:space="preserve">Goal</t>
  </si>
  <si>
    <t xml:space="preserve">Revenue Captured (YTD)</t>
  </si>
  <si>
    <t xml:space="preserve">% to Goal</t>
  </si>
  <si>
    <t xml:space="preserve">Remaining to Goal</t>
  </si>
  <si>
    <t xml:space="preserve">Required Avg / Week</t>
  </si>
  <si>
    <t xml:space="preserve">Actual Avg / Week</t>
  </si>
  <si>
    <t xml:space="preserve">VOLUME (YTD)</t>
  </si>
  <si>
    <t xml:space="preserve">Total Leads Generated</t>
  </si>
  <si>
    <t xml:space="preserve">Total Opportunities</t>
  </si>
  <si>
    <t xml:space="preserve">Total Customers Converted</t>
  </si>
  <si>
    <t xml:space="preserve">EFFICIENCY (YTD)</t>
  </si>
  <si>
    <t xml:space="preserve">Total Growth Spend</t>
  </si>
  <si>
    <t xml:space="preserve">Blended ROAS</t>
  </si>
  <si>
    <t xml:space="preserve">Blended CAC</t>
  </si>
  <si>
    <t xml:space="preserve">FUNNEL CONVERSION (YTD)</t>
  </si>
  <si>
    <t xml:space="preserve">Lead → Opp %</t>
  </si>
  <si>
    <t xml:space="preserve">Opp → Customer %</t>
  </si>
  <si>
    <t xml:space="preserve">Avg % Calls Answered</t>
  </si>
  <si>
    <t xml:space="preserve">INBOUND TEAM — Weekly Scorecard</t>
  </si>
  <si>
    <t xml:space="preserve">Capture leads from marketing. Enter blue cells weekly. Gold = TARGET (editable). Green/red flags vs target.</t>
  </si>
  <si>
    <t xml:space="preserve">Week #</t>
  </si>
  <si>
    <t xml:space="preserve">Week Starting</t>
  </si>
  <si>
    <t xml:space="preserve">% Calls Answered</t>
  </si>
  <si>
    <t xml:space="preserve">Leads Received</t>
  </si>
  <si>
    <t xml:space="preserve">Opportunities Created</t>
  </si>
  <si>
    <t xml:space="preserve">TARGET</t>
  </si>
  <si>
    <t xml:space="preserve">TOTAL / AVG</t>
  </si>
  <si>
    <t xml:space="preserve">OUTBOUND TEAM — Weekly Scorecard</t>
  </si>
  <si>
    <t xml:space="preserve">Generate opportunities via prospecting. Enter blue cells weekly. Gold = TARGET. Green/red flags vs target.</t>
  </si>
  <si>
    <t xml:space="preserve">Outbound Calls Made</t>
  </si>
  <si>
    <t xml:space="preserve">Call → Opp %</t>
  </si>
  <si>
    <t xml:space="preserve">GROWTH DEPARTMENT — Weekly Rollup</t>
  </si>
  <si>
    <t xml:space="preserve">Green = auto-linked from team tabs. Blue = enter weekly (revenue, spend, customers). Black = auto-calculated.</t>
  </si>
  <si>
    <t xml:space="preserve">Total Opportunities Created</t>
  </si>
  <si>
    <t xml:space="preserve">Total Revenue Captured</t>
  </si>
  <si>
    <t xml:space="preserve">ROAS</t>
  </si>
  <si>
    <t xml:space="preserve">CAC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</si>
</sst>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.0%"/>
    <numFmt numFmtId="167" formatCode="#,##0;\(#,##0\);\-"/>
    <numFmt numFmtId="168" formatCode="0.00\x"/>
    <numFmt numFmtId="169" formatCode="yyyy\-mm\-dd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6"/>
      <color rgb="FF0000FF"/>
      <name val="Arial"/>
      <family val="0"/>
      <charset val="1"/>
    </font>
    <font>
      <b val="true"/>
      <sz val="16"/>
      <color rgb="FF1F3A5F"/>
      <name val="Arial"/>
      <family val="0"/>
      <charset val="1"/>
    </font>
    <font>
      <b val="true"/>
      <sz val="13"/>
      <color rgb="FF1F3A5F"/>
      <name val="Arial"/>
      <family val="0"/>
      <charset val="1"/>
    </font>
    <font>
      <sz val="10"/>
      <name val="Arial"/>
      <family val="2"/>
    </font>
    <font>
      <b val="true"/>
      <sz val="16"/>
      <color rgb="FFFFFFFF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2E7D8A"/>
        <bgColor rgb="FF008080"/>
      </patternFill>
    </fill>
    <fill>
      <patternFill patternType="solid">
        <fgColor rgb="FFFFF2CC"/>
        <bgColor rgb="FFEAF1F5"/>
      </patternFill>
    </fill>
    <fill>
      <patternFill patternType="solid">
        <fgColor rgb="FFEAF1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1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1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2E7D8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"/>
    <col collapsed="false" customWidth="true" hidden="false" outlineLevel="0" max="3" min="3" style="0" width="22"/>
    <col collapsed="false" customWidth="true" hidden="false" outlineLevel="0" max="4" min="4" style="0" width="3"/>
    <col collapsed="false" customWidth="true" hidden="false" outlineLevel="0" max="5" min="5" style="0" width="22"/>
    <col collapsed="false" customWidth="true" hidden="false" outlineLevel="0" max="6" min="6" style="0" width="3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</row>
    <row r="6" customFormat="false" ht="15" hidden="false" customHeight="false" outlineLevel="0" collapsed="false">
      <c r="A6" s="4" t="s">
        <v>3</v>
      </c>
      <c r="C6" s="5" t="s">
        <v>4</v>
      </c>
      <c r="E6" s="5" t="s">
        <v>5</v>
      </c>
    </row>
    <row r="7" customFormat="false" ht="19.7" hidden="false" customHeight="false" outlineLevel="0" collapsed="false">
      <c r="A7" s="6" t="n">
        <v>10000000</v>
      </c>
      <c r="C7" s="7" t="n">
        <f aca="false">'Dept Rollup'!E58</f>
        <v>0</v>
      </c>
      <c r="E7" s="8" t="n">
        <f aca="false">IF($A$7=0,"",'Dept Rollup'!E58/$A$7)</f>
        <v>0</v>
      </c>
    </row>
    <row r="9" customFormat="false" ht="15" hidden="false" customHeight="false" outlineLevel="0" collapsed="false">
      <c r="A9" s="4" t="s">
        <v>6</v>
      </c>
      <c r="C9" s="4" t="s">
        <v>7</v>
      </c>
      <c r="E9" s="4" t="s">
        <v>8</v>
      </c>
    </row>
    <row r="10" customFormat="false" ht="16.15" hidden="false" customHeight="false" outlineLevel="0" collapsed="false">
      <c r="A10" s="9" t="n">
        <f aca="false">$A$7-'Dept Rollup'!E58</f>
        <v>10000000</v>
      </c>
      <c r="C10" s="9" t="n">
        <f aca="false">$A$7/52</f>
        <v>192307.692307692</v>
      </c>
      <c r="E10" s="9" t="str">
        <f aca="false">IF(COUNTIF('Dept Rollup'!E6:E57,"&gt;0")=0,"",'Dept Rollup'!E58/COUNTIF('Dept Rollup'!E6:E57,"&gt;0"))</f>
        <v/>
      </c>
    </row>
    <row r="12" customFormat="false" ht="15" hidden="false" customHeight="false" outlineLevel="0" collapsed="false">
      <c r="A12" s="3" t="s">
        <v>9</v>
      </c>
      <c r="B12" s="3"/>
      <c r="C12" s="3"/>
      <c r="D12" s="3"/>
      <c r="E12" s="3"/>
      <c r="F12" s="3"/>
    </row>
    <row r="14" customFormat="false" ht="15" hidden="false" customHeight="false" outlineLevel="0" collapsed="false">
      <c r="A14" s="5" t="s">
        <v>10</v>
      </c>
      <c r="C14" s="5" t="s">
        <v>11</v>
      </c>
      <c r="E14" s="5" t="s">
        <v>12</v>
      </c>
    </row>
    <row r="15" customFormat="false" ht="16.15" hidden="false" customHeight="false" outlineLevel="0" collapsed="false">
      <c r="A15" s="10" t="n">
        <f aca="false">'Dept Rollup'!C58</f>
        <v>0</v>
      </c>
      <c r="C15" s="10" t="n">
        <f aca="false">'Dept Rollup'!D58</f>
        <v>0</v>
      </c>
      <c r="E15" s="10" t="n">
        <f aca="false">'Dept Rollup'!H58</f>
        <v>0</v>
      </c>
    </row>
    <row r="17" customFormat="false" ht="15" hidden="false" customHeight="false" outlineLevel="0" collapsed="false">
      <c r="A17" s="3" t="s">
        <v>13</v>
      </c>
      <c r="B17" s="3"/>
      <c r="C17" s="3"/>
      <c r="D17" s="3"/>
      <c r="E17" s="3"/>
      <c r="F17" s="3"/>
    </row>
    <row r="19" customFormat="false" ht="15" hidden="false" customHeight="false" outlineLevel="0" collapsed="false">
      <c r="A19" s="5" t="s">
        <v>14</v>
      </c>
      <c r="C19" s="5" t="s">
        <v>15</v>
      </c>
      <c r="E19" s="5" t="s">
        <v>16</v>
      </c>
    </row>
    <row r="20" customFormat="false" ht="16.15" hidden="false" customHeight="false" outlineLevel="0" collapsed="false">
      <c r="A20" s="11" t="n">
        <f aca="false">'Dept Rollup'!F58</f>
        <v>0</v>
      </c>
      <c r="C20" s="12" t="str">
        <f aca="false">'Dept Rollup'!G58</f>
        <v/>
      </c>
      <c r="E20" s="11" t="str">
        <f aca="false">'Dept Rollup'!I58</f>
        <v/>
      </c>
    </row>
    <row r="22" customFormat="false" ht="15" hidden="false" customHeight="false" outlineLevel="0" collapsed="false">
      <c r="A22" s="3" t="s">
        <v>17</v>
      </c>
      <c r="B22" s="3"/>
      <c r="C22" s="3"/>
      <c r="D22" s="3"/>
      <c r="E22" s="3"/>
      <c r="F22" s="3"/>
    </row>
    <row r="24" customFormat="false" ht="15" hidden="false" customHeight="false" outlineLevel="0" collapsed="false">
      <c r="A24" s="5" t="s">
        <v>18</v>
      </c>
      <c r="C24" s="5" t="s">
        <v>19</v>
      </c>
      <c r="E24" s="5" t="s">
        <v>20</v>
      </c>
    </row>
    <row r="25" customFormat="false" ht="16.15" hidden="false" customHeight="false" outlineLevel="0" collapsed="false">
      <c r="A25" s="13" t="str">
        <f aca="false">IF('Dept Rollup'!C58=0,"",'Dept Rollup'!D58/'Dept Rollup'!C58)</f>
        <v/>
      </c>
      <c r="C25" s="13" t="str">
        <f aca="false">'Dept Rollup'!J58</f>
        <v/>
      </c>
      <c r="E25" s="13" t="str">
        <f aca="false">Inbound!C58</f>
        <v/>
      </c>
    </row>
  </sheetData>
  <mergeCells count="6">
    <mergeCell ref="A1:F1"/>
    <mergeCell ref="A2:F2"/>
    <mergeCell ref="A4:F4"/>
    <mergeCell ref="A12:F12"/>
    <mergeCell ref="A17:F17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3"/>
  </cols>
  <sheetData>
    <row r="1" customFormat="false" ht="25.5" hidden="false" customHeight="true" outlineLevel="0" collapsed="false">
      <c r="A1" s="14" t="s">
        <v>21</v>
      </c>
      <c r="B1" s="14"/>
      <c r="C1" s="14"/>
      <c r="D1" s="14"/>
      <c r="E1" s="14"/>
      <c r="F1" s="14"/>
    </row>
    <row r="2" customFormat="false" ht="15" hidden="false" customHeight="false" outlineLevel="0" collapsed="false">
      <c r="A2" s="15" t="s">
        <v>22</v>
      </c>
      <c r="B2" s="15"/>
      <c r="C2" s="15"/>
      <c r="D2" s="15"/>
      <c r="E2" s="15"/>
      <c r="F2" s="15"/>
    </row>
    <row r="4" customFormat="false" ht="23.85" hidden="false" customHeight="false" outlineLevel="0" collapsed="false">
      <c r="A4" s="16" t="s">
        <v>23</v>
      </c>
      <c r="B4" s="16" t="s">
        <v>24</v>
      </c>
      <c r="C4" s="16" t="s">
        <v>25</v>
      </c>
      <c r="D4" s="16" t="s">
        <v>26</v>
      </c>
      <c r="E4" s="16" t="s">
        <v>27</v>
      </c>
      <c r="F4" s="16" t="s">
        <v>18</v>
      </c>
    </row>
    <row r="5" customFormat="false" ht="15" hidden="false" customHeight="true" outlineLevel="0" collapsed="false">
      <c r="A5" s="17" t="s">
        <v>28</v>
      </c>
      <c r="B5" s="17"/>
      <c r="C5" s="18" t="n">
        <v>0.9</v>
      </c>
      <c r="D5" s="19" t="n">
        <v>75</v>
      </c>
      <c r="E5" s="19" t="n">
        <v>45</v>
      </c>
      <c r="F5" s="18" t="n">
        <f aca="false">IF(D5=0,"",E5/D5)</f>
        <v>0.6</v>
      </c>
    </row>
    <row r="6" customFormat="false" ht="15" hidden="false" customHeight="false" outlineLevel="0" collapsed="false">
      <c r="A6" s="20" t="n">
        <v>1</v>
      </c>
      <c r="B6" s="21" t="n">
        <v>46181</v>
      </c>
      <c r="C6" s="22"/>
      <c r="D6" s="23"/>
      <c r="E6" s="23"/>
      <c r="F6" s="22" t="str">
        <f aca="false">IF(D6=0,"",E6/D6)</f>
        <v/>
      </c>
    </row>
    <row r="7" customFormat="false" ht="15" hidden="false" customHeight="false" outlineLevel="0" collapsed="false">
      <c r="A7" s="24" t="n">
        <v>2</v>
      </c>
      <c r="B7" s="25" t="n">
        <v>46188</v>
      </c>
      <c r="C7" s="22"/>
      <c r="D7" s="23"/>
      <c r="E7" s="23"/>
      <c r="F7" s="22" t="str">
        <f aca="false">IF(D7=0,"",E7/D7)</f>
        <v/>
      </c>
    </row>
    <row r="8" customFormat="false" ht="15" hidden="false" customHeight="false" outlineLevel="0" collapsed="false">
      <c r="A8" s="20" t="n">
        <v>3</v>
      </c>
      <c r="B8" s="21" t="n">
        <v>46195</v>
      </c>
      <c r="C8" s="22"/>
      <c r="D8" s="23"/>
      <c r="E8" s="23"/>
      <c r="F8" s="22" t="str">
        <f aca="false">IF(D8=0,"",E8/D8)</f>
        <v/>
      </c>
    </row>
    <row r="9" customFormat="false" ht="15" hidden="false" customHeight="false" outlineLevel="0" collapsed="false">
      <c r="A9" s="24" t="n">
        <v>4</v>
      </c>
      <c r="B9" s="25" t="n">
        <v>46202</v>
      </c>
      <c r="C9" s="22"/>
      <c r="D9" s="23"/>
      <c r="E9" s="23"/>
      <c r="F9" s="22" t="str">
        <f aca="false">IF(D9=0,"",E9/D9)</f>
        <v/>
      </c>
    </row>
    <row r="10" customFormat="false" ht="15" hidden="false" customHeight="false" outlineLevel="0" collapsed="false">
      <c r="A10" s="20" t="n">
        <v>5</v>
      </c>
      <c r="B10" s="21" t="n">
        <v>46209</v>
      </c>
      <c r="C10" s="22"/>
      <c r="D10" s="23"/>
      <c r="E10" s="23"/>
      <c r="F10" s="22" t="str">
        <f aca="false">IF(D10=0,"",E10/D10)</f>
        <v/>
      </c>
    </row>
    <row r="11" customFormat="false" ht="15" hidden="false" customHeight="false" outlineLevel="0" collapsed="false">
      <c r="A11" s="24" t="n">
        <v>6</v>
      </c>
      <c r="B11" s="25" t="n">
        <v>46216</v>
      </c>
      <c r="C11" s="22"/>
      <c r="D11" s="23"/>
      <c r="E11" s="23"/>
      <c r="F11" s="22" t="str">
        <f aca="false">IF(D11=0,"",E11/D11)</f>
        <v/>
      </c>
    </row>
    <row r="12" customFormat="false" ht="15" hidden="false" customHeight="false" outlineLevel="0" collapsed="false">
      <c r="A12" s="20" t="n">
        <v>7</v>
      </c>
      <c r="B12" s="21" t="n">
        <v>46223</v>
      </c>
      <c r="C12" s="22"/>
      <c r="D12" s="23"/>
      <c r="E12" s="23"/>
      <c r="F12" s="22" t="str">
        <f aca="false">IF(D12=0,"",E12/D12)</f>
        <v/>
      </c>
    </row>
    <row r="13" customFormat="false" ht="15" hidden="false" customHeight="false" outlineLevel="0" collapsed="false">
      <c r="A13" s="24" t="n">
        <v>8</v>
      </c>
      <c r="B13" s="25" t="n">
        <v>46230</v>
      </c>
      <c r="C13" s="22"/>
      <c r="D13" s="23"/>
      <c r="E13" s="23"/>
      <c r="F13" s="22" t="str">
        <f aca="false">IF(D13=0,"",E13/D13)</f>
        <v/>
      </c>
    </row>
    <row r="14" customFormat="false" ht="15" hidden="false" customHeight="false" outlineLevel="0" collapsed="false">
      <c r="A14" s="20" t="n">
        <v>9</v>
      </c>
      <c r="B14" s="21" t="n">
        <v>46237</v>
      </c>
      <c r="C14" s="22"/>
      <c r="D14" s="23"/>
      <c r="E14" s="23"/>
      <c r="F14" s="22" t="str">
        <f aca="false">IF(D14=0,"",E14/D14)</f>
        <v/>
      </c>
    </row>
    <row r="15" customFormat="false" ht="15" hidden="false" customHeight="false" outlineLevel="0" collapsed="false">
      <c r="A15" s="24" t="n">
        <v>10</v>
      </c>
      <c r="B15" s="25" t="n">
        <v>46244</v>
      </c>
      <c r="C15" s="22"/>
      <c r="D15" s="23"/>
      <c r="E15" s="23"/>
      <c r="F15" s="22" t="str">
        <f aca="false">IF(D15=0,"",E15/D15)</f>
        <v/>
      </c>
    </row>
    <row r="16" customFormat="false" ht="15" hidden="false" customHeight="false" outlineLevel="0" collapsed="false">
      <c r="A16" s="20" t="n">
        <v>11</v>
      </c>
      <c r="B16" s="21" t="n">
        <v>46251</v>
      </c>
      <c r="C16" s="22"/>
      <c r="D16" s="23"/>
      <c r="E16" s="23"/>
      <c r="F16" s="22" t="str">
        <f aca="false">IF(D16=0,"",E16/D16)</f>
        <v/>
      </c>
    </row>
    <row r="17" customFormat="false" ht="15" hidden="false" customHeight="false" outlineLevel="0" collapsed="false">
      <c r="A17" s="24" t="n">
        <v>12</v>
      </c>
      <c r="B17" s="25" t="n">
        <v>46258</v>
      </c>
      <c r="C17" s="22"/>
      <c r="D17" s="23"/>
      <c r="E17" s="23"/>
      <c r="F17" s="22" t="str">
        <f aca="false">IF(D17=0,"",E17/D17)</f>
        <v/>
      </c>
    </row>
    <row r="18" customFormat="false" ht="15" hidden="false" customHeight="false" outlineLevel="0" collapsed="false">
      <c r="A18" s="20" t="n">
        <v>13</v>
      </c>
      <c r="B18" s="21" t="n">
        <v>46265</v>
      </c>
      <c r="C18" s="22"/>
      <c r="D18" s="23"/>
      <c r="E18" s="23"/>
      <c r="F18" s="22" t="str">
        <f aca="false">IF(D18=0,"",E18/D18)</f>
        <v/>
      </c>
    </row>
    <row r="19" customFormat="false" ht="15" hidden="false" customHeight="false" outlineLevel="0" collapsed="false">
      <c r="A19" s="24" t="n">
        <v>14</v>
      </c>
      <c r="B19" s="25" t="n">
        <v>46272</v>
      </c>
      <c r="C19" s="22"/>
      <c r="D19" s="23"/>
      <c r="E19" s="23"/>
      <c r="F19" s="22" t="str">
        <f aca="false">IF(D19=0,"",E19/D19)</f>
        <v/>
      </c>
    </row>
    <row r="20" customFormat="false" ht="15" hidden="false" customHeight="false" outlineLevel="0" collapsed="false">
      <c r="A20" s="20" t="n">
        <v>15</v>
      </c>
      <c r="B20" s="21" t="n">
        <v>46279</v>
      </c>
      <c r="C20" s="22"/>
      <c r="D20" s="23"/>
      <c r="E20" s="23"/>
      <c r="F20" s="22" t="str">
        <f aca="false">IF(D20=0,"",E20/D20)</f>
        <v/>
      </c>
    </row>
    <row r="21" customFormat="false" ht="15" hidden="false" customHeight="false" outlineLevel="0" collapsed="false">
      <c r="A21" s="24" t="n">
        <v>16</v>
      </c>
      <c r="B21" s="25" t="n">
        <v>46286</v>
      </c>
      <c r="C21" s="22"/>
      <c r="D21" s="23"/>
      <c r="E21" s="23"/>
      <c r="F21" s="22" t="str">
        <f aca="false">IF(D21=0,"",E21/D21)</f>
        <v/>
      </c>
    </row>
    <row r="22" customFormat="false" ht="15" hidden="false" customHeight="false" outlineLevel="0" collapsed="false">
      <c r="A22" s="20" t="n">
        <v>17</v>
      </c>
      <c r="B22" s="21" t="n">
        <v>46293</v>
      </c>
      <c r="C22" s="22"/>
      <c r="D22" s="23"/>
      <c r="E22" s="23"/>
      <c r="F22" s="22" t="str">
        <f aca="false">IF(D22=0,"",E22/D22)</f>
        <v/>
      </c>
    </row>
    <row r="23" customFormat="false" ht="15" hidden="false" customHeight="false" outlineLevel="0" collapsed="false">
      <c r="A23" s="24" t="n">
        <v>18</v>
      </c>
      <c r="B23" s="25" t="n">
        <v>46300</v>
      </c>
      <c r="C23" s="22"/>
      <c r="D23" s="23"/>
      <c r="E23" s="23"/>
      <c r="F23" s="22" t="str">
        <f aca="false">IF(D23=0,"",E23/D23)</f>
        <v/>
      </c>
    </row>
    <row r="24" customFormat="false" ht="15" hidden="false" customHeight="false" outlineLevel="0" collapsed="false">
      <c r="A24" s="20" t="n">
        <v>19</v>
      </c>
      <c r="B24" s="21" t="n">
        <v>46307</v>
      </c>
      <c r="C24" s="22"/>
      <c r="D24" s="23"/>
      <c r="E24" s="23"/>
      <c r="F24" s="22" t="str">
        <f aca="false">IF(D24=0,"",E24/D24)</f>
        <v/>
      </c>
    </row>
    <row r="25" customFormat="false" ht="15" hidden="false" customHeight="false" outlineLevel="0" collapsed="false">
      <c r="A25" s="24" t="n">
        <v>20</v>
      </c>
      <c r="B25" s="25" t="n">
        <v>46314</v>
      </c>
      <c r="C25" s="22"/>
      <c r="D25" s="23"/>
      <c r="E25" s="23"/>
      <c r="F25" s="22" t="str">
        <f aca="false">IF(D25=0,"",E25/D25)</f>
        <v/>
      </c>
    </row>
    <row r="26" customFormat="false" ht="15" hidden="false" customHeight="false" outlineLevel="0" collapsed="false">
      <c r="A26" s="20" t="n">
        <v>21</v>
      </c>
      <c r="B26" s="21" t="n">
        <v>46321</v>
      </c>
      <c r="C26" s="22"/>
      <c r="D26" s="23"/>
      <c r="E26" s="23"/>
      <c r="F26" s="22" t="str">
        <f aca="false">IF(D26=0,"",E26/D26)</f>
        <v/>
      </c>
    </row>
    <row r="27" customFormat="false" ht="15" hidden="false" customHeight="false" outlineLevel="0" collapsed="false">
      <c r="A27" s="24" t="n">
        <v>22</v>
      </c>
      <c r="B27" s="25" t="n">
        <v>46328</v>
      </c>
      <c r="C27" s="22"/>
      <c r="D27" s="23"/>
      <c r="E27" s="23"/>
      <c r="F27" s="22" t="str">
        <f aca="false">IF(D27=0,"",E27/D27)</f>
        <v/>
      </c>
    </row>
    <row r="28" customFormat="false" ht="15" hidden="false" customHeight="false" outlineLevel="0" collapsed="false">
      <c r="A28" s="20" t="n">
        <v>23</v>
      </c>
      <c r="B28" s="21" t="n">
        <v>46335</v>
      </c>
      <c r="C28" s="22"/>
      <c r="D28" s="23"/>
      <c r="E28" s="23"/>
      <c r="F28" s="22" t="str">
        <f aca="false">IF(D28=0,"",E28/D28)</f>
        <v/>
      </c>
    </row>
    <row r="29" customFormat="false" ht="15" hidden="false" customHeight="false" outlineLevel="0" collapsed="false">
      <c r="A29" s="24" t="n">
        <v>24</v>
      </c>
      <c r="B29" s="25" t="n">
        <v>46342</v>
      </c>
      <c r="C29" s="22"/>
      <c r="D29" s="23"/>
      <c r="E29" s="23"/>
      <c r="F29" s="22" t="str">
        <f aca="false">IF(D29=0,"",E29/D29)</f>
        <v/>
      </c>
    </row>
    <row r="30" customFormat="false" ht="15" hidden="false" customHeight="false" outlineLevel="0" collapsed="false">
      <c r="A30" s="20" t="n">
        <v>25</v>
      </c>
      <c r="B30" s="21" t="n">
        <v>46349</v>
      </c>
      <c r="C30" s="22"/>
      <c r="D30" s="23"/>
      <c r="E30" s="23"/>
      <c r="F30" s="22" t="str">
        <f aca="false">IF(D30=0,"",E30/D30)</f>
        <v/>
      </c>
    </row>
    <row r="31" customFormat="false" ht="15" hidden="false" customHeight="false" outlineLevel="0" collapsed="false">
      <c r="A31" s="24" t="n">
        <v>26</v>
      </c>
      <c r="B31" s="25" t="n">
        <v>46356</v>
      </c>
      <c r="C31" s="22"/>
      <c r="D31" s="23"/>
      <c r="E31" s="23"/>
      <c r="F31" s="22" t="str">
        <f aca="false">IF(D31=0,"",E31/D31)</f>
        <v/>
      </c>
    </row>
    <row r="32" customFormat="false" ht="15" hidden="false" customHeight="false" outlineLevel="0" collapsed="false">
      <c r="A32" s="20" t="n">
        <v>27</v>
      </c>
      <c r="B32" s="21" t="n">
        <v>46363</v>
      </c>
      <c r="C32" s="22"/>
      <c r="D32" s="23"/>
      <c r="E32" s="23"/>
      <c r="F32" s="22" t="str">
        <f aca="false">IF(D32=0,"",E32/D32)</f>
        <v/>
      </c>
    </row>
    <row r="33" customFormat="false" ht="15" hidden="false" customHeight="false" outlineLevel="0" collapsed="false">
      <c r="A33" s="24" t="n">
        <v>28</v>
      </c>
      <c r="B33" s="25" t="n">
        <v>46370</v>
      </c>
      <c r="C33" s="22"/>
      <c r="D33" s="23"/>
      <c r="E33" s="23"/>
      <c r="F33" s="22" t="str">
        <f aca="false">IF(D33=0,"",E33/D33)</f>
        <v/>
      </c>
    </row>
    <row r="34" customFormat="false" ht="15" hidden="false" customHeight="false" outlineLevel="0" collapsed="false">
      <c r="A34" s="20" t="n">
        <v>29</v>
      </c>
      <c r="B34" s="21" t="n">
        <v>46377</v>
      </c>
      <c r="C34" s="22"/>
      <c r="D34" s="23"/>
      <c r="E34" s="23"/>
      <c r="F34" s="22" t="str">
        <f aca="false">IF(D34=0,"",E34/D34)</f>
        <v/>
      </c>
    </row>
    <row r="35" customFormat="false" ht="15" hidden="false" customHeight="false" outlineLevel="0" collapsed="false">
      <c r="A35" s="24" t="n">
        <v>30</v>
      </c>
      <c r="B35" s="25" t="n">
        <v>46384</v>
      </c>
      <c r="C35" s="22"/>
      <c r="D35" s="23"/>
      <c r="E35" s="23"/>
      <c r="F35" s="22" t="str">
        <f aca="false">IF(D35=0,"",E35/D35)</f>
        <v/>
      </c>
    </row>
    <row r="36" customFormat="false" ht="15" hidden="false" customHeight="false" outlineLevel="0" collapsed="false">
      <c r="A36" s="20" t="n">
        <v>31</v>
      </c>
      <c r="B36" s="21" t="n">
        <v>46391</v>
      </c>
      <c r="C36" s="22"/>
      <c r="D36" s="23"/>
      <c r="E36" s="23"/>
      <c r="F36" s="22" t="str">
        <f aca="false">IF(D36=0,"",E36/D36)</f>
        <v/>
      </c>
    </row>
    <row r="37" customFormat="false" ht="15" hidden="false" customHeight="false" outlineLevel="0" collapsed="false">
      <c r="A37" s="24" t="n">
        <v>32</v>
      </c>
      <c r="B37" s="25" t="n">
        <v>46398</v>
      </c>
      <c r="C37" s="22"/>
      <c r="D37" s="23"/>
      <c r="E37" s="23"/>
      <c r="F37" s="22" t="str">
        <f aca="false">IF(D37=0,"",E37/D37)</f>
        <v/>
      </c>
    </row>
    <row r="38" customFormat="false" ht="15" hidden="false" customHeight="false" outlineLevel="0" collapsed="false">
      <c r="A38" s="20" t="n">
        <v>33</v>
      </c>
      <c r="B38" s="21" t="n">
        <v>46405</v>
      </c>
      <c r="C38" s="22"/>
      <c r="D38" s="23"/>
      <c r="E38" s="23"/>
      <c r="F38" s="22" t="str">
        <f aca="false">IF(D38=0,"",E38/D38)</f>
        <v/>
      </c>
    </row>
    <row r="39" customFormat="false" ht="15" hidden="false" customHeight="false" outlineLevel="0" collapsed="false">
      <c r="A39" s="24" t="n">
        <v>34</v>
      </c>
      <c r="B39" s="25" t="n">
        <v>46412</v>
      </c>
      <c r="C39" s="22"/>
      <c r="D39" s="23"/>
      <c r="E39" s="23"/>
      <c r="F39" s="22" t="str">
        <f aca="false">IF(D39=0,"",E39/D39)</f>
        <v/>
      </c>
    </row>
    <row r="40" customFormat="false" ht="15" hidden="false" customHeight="false" outlineLevel="0" collapsed="false">
      <c r="A40" s="20" t="n">
        <v>35</v>
      </c>
      <c r="B40" s="21" t="n">
        <v>46419</v>
      </c>
      <c r="C40" s="22"/>
      <c r="D40" s="23"/>
      <c r="E40" s="23"/>
      <c r="F40" s="22" t="str">
        <f aca="false">IF(D40=0,"",E40/D40)</f>
        <v/>
      </c>
    </row>
    <row r="41" customFormat="false" ht="15" hidden="false" customHeight="false" outlineLevel="0" collapsed="false">
      <c r="A41" s="24" t="n">
        <v>36</v>
      </c>
      <c r="B41" s="25" t="n">
        <v>46426</v>
      </c>
      <c r="C41" s="22"/>
      <c r="D41" s="23"/>
      <c r="E41" s="23"/>
      <c r="F41" s="22" t="str">
        <f aca="false">IF(D41=0,"",E41/D41)</f>
        <v/>
      </c>
    </row>
    <row r="42" customFormat="false" ht="15" hidden="false" customHeight="false" outlineLevel="0" collapsed="false">
      <c r="A42" s="20" t="n">
        <v>37</v>
      </c>
      <c r="B42" s="21" t="n">
        <v>46433</v>
      </c>
      <c r="C42" s="22"/>
      <c r="D42" s="23"/>
      <c r="E42" s="23"/>
      <c r="F42" s="22" t="str">
        <f aca="false">IF(D42=0,"",E42/D42)</f>
        <v/>
      </c>
    </row>
    <row r="43" customFormat="false" ht="15" hidden="false" customHeight="false" outlineLevel="0" collapsed="false">
      <c r="A43" s="24" t="n">
        <v>38</v>
      </c>
      <c r="B43" s="25" t="n">
        <v>46440</v>
      </c>
      <c r="C43" s="22"/>
      <c r="D43" s="23"/>
      <c r="E43" s="23"/>
      <c r="F43" s="22" t="str">
        <f aca="false">IF(D43=0,"",E43/D43)</f>
        <v/>
      </c>
    </row>
    <row r="44" customFormat="false" ht="15" hidden="false" customHeight="false" outlineLevel="0" collapsed="false">
      <c r="A44" s="20" t="n">
        <v>39</v>
      </c>
      <c r="B44" s="21" t="n">
        <v>46447</v>
      </c>
      <c r="C44" s="22"/>
      <c r="D44" s="23"/>
      <c r="E44" s="23"/>
      <c r="F44" s="22" t="str">
        <f aca="false">IF(D44=0,"",E44/D44)</f>
        <v/>
      </c>
    </row>
    <row r="45" customFormat="false" ht="15" hidden="false" customHeight="false" outlineLevel="0" collapsed="false">
      <c r="A45" s="24" t="n">
        <v>40</v>
      </c>
      <c r="B45" s="25" t="n">
        <v>46454</v>
      </c>
      <c r="C45" s="22"/>
      <c r="D45" s="23"/>
      <c r="E45" s="23"/>
      <c r="F45" s="22" t="str">
        <f aca="false">IF(D45=0,"",E45/D45)</f>
        <v/>
      </c>
    </row>
    <row r="46" customFormat="false" ht="15" hidden="false" customHeight="false" outlineLevel="0" collapsed="false">
      <c r="A46" s="20" t="n">
        <v>41</v>
      </c>
      <c r="B46" s="21" t="n">
        <v>46461</v>
      </c>
      <c r="C46" s="22"/>
      <c r="D46" s="23"/>
      <c r="E46" s="23"/>
      <c r="F46" s="22" t="str">
        <f aca="false">IF(D46=0,"",E46/D46)</f>
        <v/>
      </c>
    </row>
    <row r="47" customFormat="false" ht="15" hidden="false" customHeight="false" outlineLevel="0" collapsed="false">
      <c r="A47" s="24" t="n">
        <v>42</v>
      </c>
      <c r="B47" s="25" t="n">
        <v>46468</v>
      </c>
      <c r="C47" s="22"/>
      <c r="D47" s="23"/>
      <c r="E47" s="23"/>
      <c r="F47" s="22" t="str">
        <f aca="false">IF(D47=0,"",E47/D47)</f>
        <v/>
      </c>
    </row>
    <row r="48" customFormat="false" ht="15" hidden="false" customHeight="false" outlineLevel="0" collapsed="false">
      <c r="A48" s="20" t="n">
        <v>43</v>
      </c>
      <c r="B48" s="21" t="n">
        <v>46475</v>
      </c>
      <c r="C48" s="22"/>
      <c r="D48" s="23"/>
      <c r="E48" s="23"/>
      <c r="F48" s="22" t="str">
        <f aca="false">IF(D48=0,"",E48/D48)</f>
        <v/>
      </c>
    </row>
    <row r="49" customFormat="false" ht="15" hidden="false" customHeight="false" outlineLevel="0" collapsed="false">
      <c r="A49" s="24" t="n">
        <v>44</v>
      </c>
      <c r="B49" s="25" t="n">
        <v>46482</v>
      </c>
      <c r="C49" s="22"/>
      <c r="D49" s="23"/>
      <c r="E49" s="23"/>
      <c r="F49" s="22" t="str">
        <f aca="false">IF(D49=0,"",E49/D49)</f>
        <v/>
      </c>
    </row>
    <row r="50" customFormat="false" ht="15" hidden="false" customHeight="false" outlineLevel="0" collapsed="false">
      <c r="A50" s="20" t="n">
        <v>45</v>
      </c>
      <c r="B50" s="21" t="n">
        <v>46489</v>
      </c>
      <c r="C50" s="22"/>
      <c r="D50" s="23"/>
      <c r="E50" s="23"/>
      <c r="F50" s="22" t="str">
        <f aca="false">IF(D50=0,"",E50/D50)</f>
        <v/>
      </c>
    </row>
    <row r="51" customFormat="false" ht="15" hidden="false" customHeight="false" outlineLevel="0" collapsed="false">
      <c r="A51" s="24" t="n">
        <v>46</v>
      </c>
      <c r="B51" s="25" t="n">
        <v>46496</v>
      </c>
      <c r="C51" s="22"/>
      <c r="D51" s="23"/>
      <c r="E51" s="23"/>
      <c r="F51" s="22" t="str">
        <f aca="false">IF(D51=0,"",E51/D51)</f>
        <v/>
      </c>
    </row>
    <row r="52" customFormat="false" ht="15" hidden="false" customHeight="false" outlineLevel="0" collapsed="false">
      <c r="A52" s="20" t="n">
        <v>47</v>
      </c>
      <c r="B52" s="21" t="n">
        <v>46503</v>
      </c>
      <c r="C52" s="22"/>
      <c r="D52" s="23"/>
      <c r="E52" s="23"/>
      <c r="F52" s="22" t="str">
        <f aca="false">IF(D52=0,"",E52/D52)</f>
        <v/>
      </c>
    </row>
    <row r="53" customFormat="false" ht="15" hidden="false" customHeight="false" outlineLevel="0" collapsed="false">
      <c r="A53" s="24" t="n">
        <v>48</v>
      </c>
      <c r="B53" s="25" t="n">
        <v>46510</v>
      </c>
      <c r="C53" s="22"/>
      <c r="D53" s="23"/>
      <c r="E53" s="23"/>
      <c r="F53" s="22" t="str">
        <f aca="false">IF(D53=0,"",E53/D53)</f>
        <v/>
      </c>
    </row>
    <row r="54" customFormat="false" ht="15" hidden="false" customHeight="false" outlineLevel="0" collapsed="false">
      <c r="A54" s="20" t="n">
        <v>49</v>
      </c>
      <c r="B54" s="21" t="n">
        <v>46517</v>
      </c>
      <c r="C54" s="22"/>
      <c r="D54" s="23"/>
      <c r="E54" s="23"/>
      <c r="F54" s="22" t="str">
        <f aca="false">IF(D54=0,"",E54/D54)</f>
        <v/>
      </c>
    </row>
    <row r="55" customFormat="false" ht="15" hidden="false" customHeight="false" outlineLevel="0" collapsed="false">
      <c r="A55" s="24" t="n">
        <v>50</v>
      </c>
      <c r="B55" s="25" t="n">
        <v>46524</v>
      </c>
      <c r="C55" s="22"/>
      <c r="D55" s="23"/>
      <c r="E55" s="23"/>
      <c r="F55" s="22" t="str">
        <f aca="false">IF(D55=0,"",E55/D55)</f>
        <v/>
      </c>
    </row>
    <row r="56" customFormat="false" ht="15" hidden="false" customHeight="false" outlineLevel="0" collapsed="false">
      <c r="A56" s="20" t="n">
        <v>51</v>
      </c>
      <c r="B56" s="21" t="n">
        <v>46531</v>
      </c>
      <c r="C56" s="22"/>
      <c r="D56" s="23"/>
      <c r="E56" s="23"/>
      <c r="F56" s="22" t="str">
        <f aca="false">IF(D56=0,"",E56/D56)</f>
        <v/>
      </c>
    </row>
    <row r="57" customFormat="false" ht="15" hidden="false" customHeight="false" outlineLevel="0" collapsed="false">
      <c r="A57" s="24" t="n">
        <v>52</v>
      </c>
      <c r="B57" s="25" t="n">
        <v>46538</v>
      </c>
      <c r="C57" s="22"/>
      <c r="D57" s="23"/>
      <c r="E57" s="23"/>
      <c r="F57" s="22" t="str">
        <f aca="false">IF(D57=0,"",E57/D57)</f>
        <v/>
      </c>
    </row>
    <row r="58" customFormat="false" ht="15" hidden="false" customHeight="true" outlineLevel="0" collapsed="false">
      <c r="A58" s="26" t="s">
        <v>29</v>
      </c>
      <c r="B58" s="26"/>
      <c r="C58" s="27" t="str">
        <f aca="false">IFERROR(AVERAGE(C6:C57),"")</f>
        <v/>
      </c>
      <c r="D58" s="28" t="n">
        <f aca="false">SUM(D6:D57)</f>
        <v>0</v>
      </c>
      <c r="E58" s="28" t="n">
        <f aca="false">SUM(E6:E57)</f>
        <v>0</v>
      </c>
      <c r="F58" s="27" t="str">
        <f aca="false">IF(D58=0,"",E58/D58)</f>
        <v/>
      </c>
    </row>
  </sheetData>
  <mergeCells count="4">
    <mergeCell ref="A1:F1"/>
    <mergeCell ref="A2:F2"/>
    <mergeCell ref="A5:B5"/>
    <mergeCell ref="A58:B58"/>
  </mergeCells>
  <conditionalFormatting sqref="C6:C57">
    <cfRule type="expression" priority="2" aboveAverage="0" equalAverage="0" bottom="0" percent="0" rank="0" text="" dxfId="0">
      <formula>AND(C6&lt;&gt;"",C6&gt;=$C$5)</formula>
    </cfRule>
    <cfRule type="expression" priority="3" aboveAverage="0" equalAverage="0" bottom="0" percent="0" rank="0" text="" dxfId="1">
      <formula>AND(C6&lt;&gt;"",C6&lt;$C$5)</formula>
    </cfRule>
  </conditionalFormatting>
  <conditionalFormatting sqref="D6:D57">
    <cfRule type="expression" priority="4" aboveAverage="0" equalAverage="0" bottom="0" percent="0" rank="0" text="" dxfId="0">
      <formula>AND(D6&lt;&gt;"",D6&gt;=$D$5)</formula>
    </cfRule>
    <cfRule type="expression" priority="5" aboveAverage="0" equalAverage="0" bottom="0" percent="0" rank="0" text="" dxfId="1">
      <formula>AND(D6&lt;&gt;"",D6&lt;$D$5)</formula>
    </cfRule>
  </conditionalFormatting>
  <conditionalFormatting sqref="E6:E57">
    <cfRule type="expression" priority="6" aboveAverage="0" equalAverage="0" bottom="0" percent="0" rank="0" text="" dxfId="0">
      <formula>AND(E6&lt;&gt;"",E6&gt;=$E$5)</formula>
    </cfRule>
    <cfRule type="expression" priority="7" aboveAverage="0" equalAverage="0" bottom="0" percent="0" rank="0" text="" dxfId="1">
      <formula>AND(E6&lt;&gt;"",E6&lt;$E$5)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19"/>
    <col collapsed="false" customWidth="true" hidden="false" outlineLevel="0" max="4" min="4" style="0" width="20"/>
    <col collapsed="false" customWidth="true" hidden="false" outlineLevel="0" max="5" min="5" style="0" width="13"/>
  </cols>
  <sheetData>
    <row r="1" customFormat="false" ht="25.5" hidden="false" customHeight="true" outlineLevel="0" collapsed="false">
      <c r="A1" s="14" t="s">
        <v>30</v>
      </c>
      <c r="B1" s="14"/>
      <c r="C1" s="14"/>
      <c r="D1" s="14"/>
      <c r="E1" s="14"/>
    </row>
    <row r="2" customFormat="false" ht="15" hidden="false" customHeight="false" outlineLevel="0" collapsed="false">
      <c r="A2" s="15" t="s">
        <v>31</v>
      </c>
      <c r="B2" s="15"/>
      <c r="C2" s="15"/>
      <c r="D2" s="15"/>
      <c r="E2" s="15"/>
    </row>
    <row r="4" customFormat="false" ht="23.85" hidden="false" customHeight="false" outlineLevel="0" collapsed="false">
      <c r="A4" s="16" t="s">
        <v>23</v>
      </c>
      <c r="B4" s="16" t="s">
        <v>24</v>
      </c>
      <c r="C4" s="16" t="s">
        <v>32</v>
      </c>
      <c r="D4" s="16" t="s">
        <v>27</v>
      </c>
      <c r="E4" s="16" t="s">
        <v>33</v>
      </c>
    </row>
    <row r="5" customFormat="false" ht="15" hidden="false" customHeight="true" outlineLevel="0" collapsed="false">
      <c r="A5" s="17" t="s">
        <v>28</v>
      </c>
      <c r="B5" s="17"/>
      <c r="C5" s="19" t="n">
        <v>500</v>
      </c>
      <c r="D5" s="19" t="n">
        <v>25</v>
      </c>
      <c r="E5" s="18" t="n">
        <f aca="false">IF(C5=0,"",D5/C5)</f>
        <v>0.05</v>
      </c>
    </row>
    <row r="6" customFormat="false" ht="15" hidden="false" customHeight="false" outlineLevel="0" collapsed="false">
      <c r="A6" s="20" t="n">
        <v>1</v>
      </c>
      <c r="B6" s="21" t="n">
        <v>46181</v>
      </c>
      <c r="C6" s="23"/>
      <c r="D6" s="23"/>
      <c r="E6" s="22" t="str">
        <f aca="false">IF(C6=0,"",D6/C6)</f>
        <v/>
      </c>
    </row>
    <row r="7" customFormat="false" ht="15" hidden="false" customHeight="false" outlineLevel="0" collapsed="false">
      <c r="A7" s="24" t="n">
        <v>2</v>
      </c>
      <c r="B7" s="25" t="n">
        <v>46188</v>
      </c>
      <c r="C7" s="23"/>
      <c r="D7" s="23"/>
      <c r="E7" s="22" t="str">
        <f aca="false">IF(C7=0,"",D7/C7)</f>
        <v/>
      </c>
    </row>
    <row r="8" customFormat="false" ht="15" hidden="false" customHeight="false" outlineLevel="0" collapsed="false">
      <c r="A8" s="20" t="n">
        <v>3</v>
      </c>
      <c r="B8" s="21" t="n">
        <v>46195</v>
      </c>
      <c r="C8" s="23"/>
      <c r="D8" s="23"/>
      <c r="E8" s="22" t="str">
        <f aca="false">IF(C8=0,"",D8/C8)</f>
        <v/>
      </c>
    </row>
    <row r="9" customFormat="false" ht="15" hidden="false" customHeight="false" outlineLevel="0" collapsed="false">
      <c r="A9" s="24" t="n">
        <v>4</v>
      </c>
      <c r="B9" s="25" t="n">
        <v>46202</v>
      </c>
      <c r="C9" s="23"/>
      <c r="D9" s="23"/>
      <c r="E9" s="22" t="str">
        <f aca="false">IF(C9=0,"",D9/C9)</f>
        <v/>
      </c>
    </row>
    <row r="10" customFormat="false" ht="15" hidden="false" customHeight="false" outlineLevel="0" collapsed="false">
      <c r="A10" s="20" t="n">
        <v>5</v>
      </c>
      <c r="B10" s="21" t="n">
        <v>46209</v>
      </c>
      <c r="C10" s="23"/>
      <c r="D10" s="23"/>
      <c r="E10" s="22" t="str">
        <f aca="false">IF(C10=0,"",D10/C10)</f>
        <v/>
      </c>
    </row>
    <row r="11" customFormat="false" ht="15" hidden="false" customHeight="false" outlineLevel="0" collapsed="false">
      <c r="A11" s="24" t="n">
        <v>6</v>
      </c>
      <c r="B11" s="25" t="n">
        <v>46216</v>
      </c>
      <c r="C11" s="23"/>
      <c r="D11" s="23"/>
      <c r="E11" s="22" t="str">
        <f aca="false">IF(C11=0,"",D11/C11)</f>
        <v/>
      </c>
    </row>
    <row r="12" customFormat="false" ht="15" hidden="false" customHeight="false" outlineLevel="0" collapsed="false">
      <c r="A12" s="20" t="n">
        <v>7</v>
      </c>
      <c r="B12" s="21" t="n">
        <v>46223</v>
      </c>
      <c r="C12" s="23"/>
      <c r="D12" s="23"/>
      <c r="E12" s="22" t="str">
        <f aca="false">IF(C12=0,"",D12/C12)</f>
        <v/>
      </c>
    </row>
    <row r="13" customFormat="false" ht="15" hidden="false" customHeight="false" outlineLevel="0" collapsed="false">
      <c r="A13" s="24" t="n">
        <v>8</v>
      </c>
      <c r="B13" s="25" t="n">
        <v>46230</v>
      </c>
      <c r="C13" s="23"/>
      <c r="D13" s="23"/>
      <c r="E13" s="22" t="str">
        <f aca="false">IF(C13=0,"",D13/C13)</f>
        <v/>
      </c>
    </row>
    <row r="14" customFormat="false" ht="15" hidden="false" customHeight="false" outlineLevel="0" collapsed="false">
      <c r="A14" s="20" t="n">
        <v>9</v>
      </c>
      <c r="B14" s="21" t="n">
        <v>46237</v>
      </c>
      <c r="C14" s="23"/>
      <c r="D14" s="23"/>
      <c r="E14" s="22" t="str">
        <f aca="false">IF(C14=0,"",D14/C14)</f>
        <v/>
      </c>
    </row>
    <row r="15" customFormat="false" ht="15" hidden="false" customHeight="false" outlineLevel="0" collapsed="false">
      <c r="A15" s="24" t="n">
        <v>10</v>
      </c>
      <c r="B15" s="25" t="n">
        <v>46244</v>
      </c>
      <c r="C15" s="23"/>
      <c r="D15" s="23"/>
      <c r="E15" s="22" t="str">
        <f aca="false">IF(C15=0,"",D15/C15)</f>
        <v/>
      </c>
    </row>
    <row r="16" customFormat="false" ht="15" hidden="false" customHeight="false" outlineLevel="0" collapsed="false">
      <c r="A16" s="20" t="n">
        <v>11</v>
      </c>
      <c r="B16" s="21" t="n">
        <v>46251</v>
      </c>
      <c r="C16" s="23"/>
      <c r="D16" s="23"/>
      <c r="E16" s="22" t="str">
        <f aca="false">IF(C16=0,"",D16/C16)</f>
        <v/>
      </c>
    </row>
    <row r="17" customFormat="false" ht="15" hidden="false" customHeight="false" outlineLevel="0" collapsed="false">
      <c r="A17" s="24" t="n">
        <v>12</v>
      </c>
      <c r="B17" s="25" t="n">
        <v>46258</v>
      </c>
      <c r="C17" s="23"/>
      <c r="D17" s="23"/>
      <c r="E17" s="22" t="str">
        <f aca="false">IF(C17=0,"",D17/C17)</f>
        <v/>
      </c>
    </row>
    <row r="18" customFormat="false" ht="15" hidden="false" customHeight="false" outlineLevel="0" collapsed="false">
      <c r="A18" s="20" t="n">
        <v>13</v>
      </c>
      <c r="B18" s="21" t="n">
        <v>46265</v>
      </c>
      <c r="C18" s="23"/>
      <c r="D18" s="23"/>
      <c r="E18" s="22" t="str">
        <f aca="false">IF(C18=0,"",D18/C18)</f>
        <v/>
      </c>
    </row>
    <row r="19" customFormat="false" ht="15" hidden="false" customHeight="false" outlineLevel="0" collapsed="false">
      <c r="A19" s="24" t="n">
        <v>14</v>
      </c>
      <c r="B19" s="25" t="n">
        <v>46272</v>
      </c>
      <c r="C19" s="23"/>
      <c r="D19" s="23"/>
      <c r="E19" s="22" t="str">
        <f aca="false">IF(C19=0,"",D19/C19)</f>
        <v/>
      </c>
    </row>
    <row r="20" customFormat="false" ht="15" hidden="false" customHeight="false" outlineLevel="0" collapsed="false">
      <c r="A20" s="20" t="n">
        <v>15</v>
      </c>
      <c r="B20" s="21" t="n">
        <v>46279</v>
      </c>
      <c r="C20" s="23"/>
      <c r="D20" s="23"/>
      <c r="E20" s="22" t="str">
        <f aca="false">IF(C20=0,"",D20/C20)</f>
        <v/>
      </c>
    </row>
    <row r="21" customFormat="false" ht="15" hidden="false" customHeight="false" outlineLevel="0" collapsed="false">
      <c r="A21" s="24" t="n">
        <v>16</v>
      </c>
      <c r="B21" s="25" t="n">
        <v>46286</v>
      </c>
      <c r="C21" s="23"/>
      <c r="D21" s="23"/>
      <c r="E21" s="22" t="str">
        <f aca="false">IF(C21=0,"",D21/C21)</f>
        <v/>
      </c>
    </row>
    <row r="22" customFormat="false" ht="15" hidden="false" customHeight="false" outlineLevel="0" collapsed="false">
      <c r="A22" s="20" t="n">
        <v>17</v>
      </c>
      <c r="B22" s="21" t="n">
        <v>46293</v>
      </c>
      <c r="C22" s="23"/>
      <c r="D22" s="23"/>
      <c r="E22" s="22" t="str">
        <f aca="false">IF(C22=0,"",D22/C22)</f>
        <v/>
      </c>
    </row>
    <row r="23" customFormat="false" ht="15" hidden="false" customHeight="false" outlineLevel="0" collapsed="false">
      <c r="A23" s="24" t="n">
        <v>18</v>
      </c>
      <c r="B23" s="25" t="n">
        <v>46300</v>
      </c>
      <c r="C23" s="23"/>
      <c r="D23" s="23"/>
      <c r="E23" s="22" t="str">
        <f aca="false">IF(C23=0,"",D23/C23)</f>
        <v/>
      </c>
    </row>
    <row r="24" customFormat="false" ht="15" hidden="false" customHeight="false" outlineLevel="0" collapsed="false">
      <c r="A24" s="20" t="n">
        <v>19</v>
      </c>
      <c r="B24" s="21" t="n">
        <v>46307</v>
      </c>
      <c r="C24" s="23"/>
      <c r="D24" s="23"/>
      <c r="E24" s="22" t="str">
        <f aca="false">IF(C24=0,"",D24/C24)</f>
        <v/>
      </c>
    </row>
    <row r="25" customFormat="false" ht="15" hidden="false" customHeight="false" outlineLevel="0" collapsed="false">
      <c r="A25" s="24" t="n">
        <v>20</v>
      </c>
      <c r="B25" s="25" t="n">
        <v>46314</v>
      </c>
      <c r="C25" s="23"/>
      <c r="D25" s="23"/>
      <c r="E25" s="22" t="str">
        <f aca="false">IF(C25=0,"",D25/C25)</f>
        <v/>
      </c>
    </row>
    <row r="26" customFormat="false" ht="15" hidden="false" customHeight="false" outlineLevel="0" collapsed="false">
      <c r="A26" s="20" t="n">
        <v>21</v>
      </c>
      <c r="B26" s="21" t="n">
        <v>46321</v>
      </c>
      <c r="C26" s="23"/>
      <c r="D26" s="23"/>
      <c r="E26" s="22" t="str">
        <f aca="false">IF(C26=0,"",D26/C26)</f>
        <v/>
      </c>
    </row>
    <row r="27" customFormat="false" ht="15" hidden="false" customHeight="false" outlineLevel="0" collapsed="false">
      <c r="A27" s="24" t="n">
        <v>22</v>
      </c>
      <c r="B27" s="25" t="n">
        <v>46328</v>
      </c>
      <c r="C27" s="23"/>
      <c r="D27" s="23"/>
      <c r="E27" s="22" t="str">
        <f aca="false">IF(C27=0,"",D27/C27)</f>
        <v/>
      </c>
    </row>
    <row r="28" customFormat="false" ht="15" hidden="false" customHeight="false" outlineLevel="0" collapsed="false">
      <c r="A28" s="20" t="n">
        <v>23</v>
      </c>
      <c r="B28" s="21" t="n">
        <v>46335</v>
      </c>
      <c r="C28" s="23"/>
      <c r="D28" s="23"/>
      <c r="E28" s="22" t="str">
        <f aca="false">IF(C28=0,"",D28/C28)</f>
        <v/>
      </c>
    </row>
    <row r="29" customFormat="false" ht="15" hidden="false" customHeight="false" outlineLevel="0" collapsed="false">
      <c r="A29" s="24" t="n">
        <v>24</v>
      </c>
      <c r="B29" s="25" t="n">
        <v>46342</v>
      </c>
      <c r="C29" s="23"/>
      <c r="D29" s="23"/>
      <c r="E29" s="22" t="str">
        <f aca="false">IF(C29=0,"",D29/C29)</f>
        <v/>
      </c>
    </row>
    <row r="30" customFormat="false" ht="15" hidden="false" customHeight="false" outlineLevel="0" collapsed="false">
      <c r="A30" s="20" t="n">
        <v>25</v>
      </c>
      <c r="B30" s="21" t="n">
        <v>46349</v>
      </c>
      <c r="C30" s="23"/>
      <c r="D30" s="23"/>
      <c r="E30" s="22" t="str">
        <f aca="false">IF(C30=0,"",D30/C30)</f>
        <v/>
      </c>
    </row>
    <row r="31" customFormat="false" ht="15" hidden="false" customHeight="false" outlineLevel="0" collapsed="false">
      <c r="A31" s="24" t="n">
        <v>26</v>
      </c>
      <c r="B31" s="25" t="n">
        <v>46356</v>
      </c>
      <c r="C31" s="23"/>
      <c r="D31" s="23"/>
      <c r="E31" s="22" t="str">
        <f aca="false">IF(C31=0,"",D31/C31)</f>
        <v/>
      </c>
    </row>
    <row r="32" customFormat="false" ht="15" hidden="false" customHeight="false" outlineLevel="0" collapsed="false">
      <c r="A32" s="20" t="n">
        <v>27</v>
      </c>
      <c r="B32" s="21" t="n">
        <v>46363</v>
      </c>
      <c r="C32" s="23"/>
      <c r="D32" s="23"/>
      <c r="E32" s="22" t="str">
        <f aca="false">IF(C32=0,"",D32/C32)</f>
        <v/>
      </c>
    </row>
    <row r="33" customFormat="false" ht="15" hidden="false" customHeight="false" outlineLevel="0" collapsed="false">
      <c r="A33" s="24" t="n">
        <v>28</v>
      </c>
      <c r="B33" s="25" t="n">
        <v>46370</v>
      </c>
      <c r="C33" s="23"/>
      <c r="D33" s="23"/>
      <c r="E33" s="22" t="str">
        <f aca="false">IF(C33=0,"",D33/C33)</f>
        <v/>
      </c>
    </row>
    <row r="34" customFormat="false" ht="15" hidden="false" customHeight="false" outlineLevel="0" collapsed="false">
      <c r="A34" s="20" t="n">
        <v>29</v>
      </c>
      <c r="B34" s="21" t="n">
        <v>46377</v>
      </c>
      <c r="C34" s="23"/>
      <c r="D34" s="23"/>
      <c r="E34" s="22" t="str">
        <f aca="false">IF(C34=0,"",D34/C34)</f>
        <v/>
      </c>
    </row>
    <row r="35" customFormat="false" ht="15" hidden="false" customHeight="false" outlineLevel="0" collapsed="false">
      <c r="A35" s="24" t="n">
        <v>30</v>
      </c>
      <c r="B35" s="25" t="n">
        <v>46384</v>
      </c>
      <c r="C35" s="23"/>
      <c r="D35" s="23"/>
      <c r="E35" s="22" t="str">
        <f aca="false">IF(C35=0,"",D35/C35)</f>
        <v/>
      </c>
    </row>
    <row r="36" customFormat="false" ht="15" hidden="false" customHeight="false" outlineLevel="0" collapsed="false">
      <c r="A36" s="20" t="n">
        <v>31</v>
      </c>
      <c r="B36" s="21" t="n">
        <v>46391</v>
      </c>
      <c r="C36" s="23"/>
      <c r="D36" s="23"/>
      <c r="E36" s="22" t="str">
        <f aca="false">IF(C36=0,"",D36/C36)</f>
        <v/>
      </c>
    </row>
    <row r="37" customFormat="false" ht="15" hidden="false" customHeight="false" outlineLevel="0" collapsed="false">
      <c r="A37" s="24" t="n">
        <v>32</v>
      </c>
      <c r="B37" s="25" t="n">
        <v>46398</v>
      </c>
      <c r="C37" s="23"/>
      <c r="D37" s="23"/>
      <c r="E37" s="22" t="str">
        <f aca="false">IF(C37=0,"",D37/C37)</f>
        <v/>
      </c>
    </row>
    <row r="38" customFormat="false" ht="15" hidden="false" customHeight="false" outlineLevel="0" collapsed="false">
      <c r="A38" s="20" t="n">
        <v>33</v>
      </c>
      <c r="B38" s="21" t="n">
        <v>46405</v>
      </c>
      <c r="C38" s="23"/>
      <c r="D38" s="23"/>
      <c r="E38" s="22" t="str">
        <f aca="false">IF(C38=0,"",D38/C38)</f>
        <v/>
      </c>
    </row>
    <row r="39" customFormat="false" ht="15" hidden="false" customHeight="false" outlineLevel="0" collapsed="false">
      <c r="A39" s="24" t="n">
        <v>34</v>
      </c>
      <c r="B39" s="25" t="n">
        <v>46412</v>
      </c>
      <c r="C39" s="23"/>
      <c r="D39" s="23"/>
      <c r="E39" s="22" t="str">
        <f aca="false">IF(C39=0,"",D39/C39)</f>
        <v/>
      </c>
    </row>
    <row r="40" customFormat="false" ht="15" hidden="false" customHeight="false" outlineLevel="0" collapsed="false">
      <c r="A40" s="20" t="n">
        <v>35</v>
      </c>
      <c r="B40" s="21" t="n">
        <v>46419</v>
      </c>
      <c r="C40" s="23"/>
      <c r="D40" s="23"/>
      <c r="E40" s="22" t="str">
        <f aca="false">IF(C40=0,"",D40/C40)</f>
        <v/>
      </c>
    </row>
    <row r="41" customFormat="false" ht="15" hidden="false" customHeight="false" outlineLevel="0" collapsed="false">
      <c r="A41" s="24" t="n">
        <v>36</v>
      </c>
      <c r="B41" s="25" t="n">
        <v>46426</v>
      </c>
      <c r="C41" s="23"/>
      <c r="D41" s="23"/>
      <c r="E41" s="22" t="str">
        <f aca="false">IF(C41=0,"",D41/C41)</f>
        <v/>
      </c>
    </row>
    <row r="42" customFormat="false" ht="15" hidden="false" customHeight="false" outlineLevel="0" collapsed="false">
      <c r="A42" s="20" t="n">
        <v>37</v>
      </c>
      <c r="B42" s="21" t="n">
        <v>46433</v>
      </c>
      <c r="C42" s="23"/>
      <c r="D42" s="23"/>
      <c r="E42" s="22" t="str">
        <f aca="false">IF(C42=0,"",D42/C42)</f>
        <v/>
      </c>
    </row>
    <row r="43" customFormat="false" ht="15" hidden="false" customHeight="false" outlineLevel="0" collapsed="false">
      <c r="A43" s="24" t="n">
        <v>38</v>
      </c>
      <c r="B43" s="25" t="n">
        <v>46440</v>
      </c>
      <c r="C43" s="23"/>
      <c r="D43" s="23"/>
      <c r="E43" s="22" t="str">
        <f aca="false">IF(C43=0,"",D43/C43)</f>
        <v/>
      </c>
    </row>
    <row r="44" customFormat="false" ht="15" hidden="false" customHeight="false" outlineLevel="0" collapsed="false">
      <c r="A44" s="20" t="n">
        <v>39</v>
      </c>
      <c r="B44" s="21" t="n">
        <v>46447</v>
      </c>
      <c r="C44" s="23"/>
      <c r="D44" s="23"/>
      <c r="E44" s="22" t="str">
        <f aca="false">IF(C44=0,"",D44/C44)</f>
        <v/>
      </c>
    </row>
    <row r="45" customFormat="false" ht="15" hidden="false" customHeight="false" outlineLevel="0" collapsed="false">
      <c r="A45" s="24" t="n">
        <v>40</v>
      </c>
      <c r="B45" s="25" t="n">
        <v>46454</v>
      </c>
      <c r="C45" s="23"/>
      <c r="D45" s="23"/>
      <c r="E45" s="22" t="str">
        <f aca="false">IF(C45=0,"",D45/C45)</f>
        <v/>
      </c>
    </row>
    <row r="46" customFormat="false" ht="15" hidden="false" customHeight="false" outlineLevel="0" collapsed="false">
      <c r="A46" s="20" t="n">
        <v>41</v>
      </c>
      <c r="B46" s="21" t="n">
        <v>46461</v>
      </c>
      <c r="C46" s="23"/>
      <c r="D46" s="23"/>
      <c r="E46" s="22" t="str">
        <f aca="false">IF(C46=0,"",D46/C46)</f>
        <v/>
      </c>
    </row>
    <row r="47" customFormat="false" ht="15" hidden="false" customHeight="false" outlineLevel="0" collapsed="false">
      <c r="A47" s="24" t="n">
        <v>42</v>
      </c>
      <c r="B47" s="25" t="n">
        <v>46468</v>
      </c>
      <c r="C47" s="23"/>
      <c r="D47" s="23"/>
      <c r="E47" s="22" t="str">
        <f aca="false">IF(C47=0,"",D47/C47)</f>
        <v/>
      </c>
    </row>
    <row r="48" customFormat="false" ht="15" hidden="false" customHeight="false" outlineLevel="0" collapsed="false">
      <c r="A48" s="20" t="n">
        <v>43</v>
      </c>
      <c r="B48" s="21" t="n">
        <v>46475</v>
      </c>
      <c r="C48" s="23"/>
      <c r="D48" s="23"/>
      <c r="E48" s="22" t="str">
        <f aca="false">IF(C48=0,"",D48/C48)</f>
        <v/>
      </c>
    </row>
    <row r="49" customFormat="false" ht="15" hidden="false" customHeight="false" outlineLevel="0" collapsed="false">
      <c r="A49" s="24" t="n">
        <v>44</v>
      </c>
      <c r="B49" s="25" t="n">
        <v>46482</v>
      </c>
      <c r="C49" s="23"/>
      <c r="D49" s="23"/>
      <c r="E49" s="22" t="str">
        <f aca="false">IF(C49=0,"",D49/C49)</f>
        <v/>
      </c>
    </row>
    <row r="50" customFormat="false" ht="15" hidden="false" customHeight="false" outlineLevel="0" collapsed="false">
      <c r="A50" s="20" t="n">
        <v>45</v>
      </c>
      <c r="B50" s="21" t="n">
        <v>46489</v>
      </c>
      <c r="C50" s="23"/>
      <c r="D50" s="23"/>
      <c r="E50" s="22" t="str">
        <f aca="false">IF(C50=0,"",D50/C50)</f>
        <v/>
      </c>
    </row>
    <row r="51" customFormat="false" ht="15" hidden="false" customHeight="false" outlineLevel="0" collapsed="false">
      <c r="A51" s="24" t="n">
        <v>46</v>
      </c>
      <c r="B51" s="25" t="n">
        <v>46496</v>
      </c>
      <c r="C51" s="23"/>
      <c r="D51" s="23"/>
      <c r="E51" s="22" t="str">
        <f aca="false">IF(C51=0,"",D51/C51)</f>
        <v/>
      </c>
    </row>
    <row r="52" customFormat="false" ht="15" hidden="false" customHeight="false" outlineLevel="0" collapsed="false">
      <c r="A52" s="20" t="n">
        <v>47</v>
      </c>
      <c r="B52" s="21" t="n">
        <v>46503</v>
      </c>
      <c r="C52" s="23"/>
      <c r="D52" s="23"/>
      <c r="E52" s="22" t="str">
        <f aca="false">IF(C52=0,"",D52/C52)</f>
        <v/>
      </c>
    </row>
    <row r="53" customFormat="false" ht="15" hidden="false" customHeight="false" outlineLevel="0" collapsed="false">
      <c r="A53" s="24" t="n">
        <v>48</v>
      </c>
      <c r="B53" s="25" t="n">
        <v>46510</v>
      </c>
      <c r="C53" s="23"/>
      <c r="D53" s="23"/>
      <c r="E53" s="22" t="str">
        <f aca="false">IF(C53=0,"",D53/C53)</f>
        <v/>
      </c>
    </row>
    <row r="54" customFormat="false" ht="15" hidden="false" customHeight="false" outlineLevel="0" collapsed="false">
      <c r="A54" s="20" t="n">
        <v>49</v>
      </c>
      <c r="B54" s="21" t="n">
        <v>46517</v>
      </c>
      <c r="C54" s="23"/>
      <c r="D54" s="23"/>
      <c r="E54" s="22" t="str">
        <f aca="false">IF(C54=0,"",D54/C54)</f>
        <v/>
      </c>
    </row>
    <row r="55" customFormat="false" ht="15" hidden="false" customHeight="false" outlineLevel="0" collapsed="false">
      <c r="A55" s="24" t="n">
        <v>50</v>
      </c>
      <c r="B55" s="25" t="n">
        <v>46524</v>
      </c>
      <c r="C55" s="23"/>
      <c r="D55" s="23"/>
      <c r="E55" s="22" t="str">
        <f aca="false">IF(C55=0,"",D55/C55)</f>
        <v/>
      </c>
    </row>
    <row r="56" customFormat="false" ht="15" hidden="false" customHeight="false" outlineLevel="0" collapsed="false">
      <c r="A56" s="20" t="n">
        <v>51</v>
      </c>
      <c r="B56" s="21" t="n">
        <v>46531</v>
      </c>
      <c r="C56" s="23"/>
      <c r="D56" s="23"/>
      <c r="E56" s="22" t="str">
        <f aca="false">IF(C56=0,"",D56/C56)</f>
        <v/>
      </c>
    </row>
    <row r="57" customFormat="false" ht="15" hidden="false" customHeight="false" outlineLevel="0" collapsed="false">
      <c r="A57" s="24" t="n">
        <v>52</v>
      </c>
      <c r="B57" s="25" t="n">
        <v>46538</v>
      </c>
      <c r="C57" s="23"/>
      <c r="D57" s="23"/>
      <c r="E57" s="22" t="str">
        <f aca="false">IF(C57=0,"",D57/C57)</f>
        <v/>
      </c>
    </row>
    <row r="58" customFormat="false" ht="15" hidden="false" customHeight="true" outlineLevel="0" collapsed="false">
      <c r="A58" s="26" t="s">
        <v>29</v>
      </c>
      <c r="B58" s="26"/>
      <c r="C58" s="28" t="n">
        <f aca="false">SUM(C6:C57)</f>
        <v>0</v>
      </c>
      <c r="D58" s="28" t="n">
        <f aca="false">SUM(D6:D57)</f>
        <v>0</v>
      </c>
      <c r="E58" s="27" t="str">
        <f aca="false">IF(C58=0,"",D58/C58)</f>
        <v/>
      </c>
    </row>
  </sheetData>
  <mergeCells count="4">
    <mergeCell ref="A1:E1"/>
    <mergeCell ref="A2:E2"/>
    <mergeCell ref="A5:B5"/>
    <mergeCell ref="A58:B58"/>
  </mergeCells>
  <conditionalFormatting sqref="C6:C57">
    <cfRule type="expression" priority="2" aboveAverage="0" equalAverage="0" bottom="0" percent="0" rank="0" text="" dxfId="0">
      <formula>AND(C6&lt;&gt;"",C6&gt;=$C$5)</formula>
    </cfRule>
    <cfRule type="expression" priority="3" aboveAverage="0" equalAverage="0" bottom="0" percent="0" rank="0" text="" dxfId="1">
      <formula>AND(C6&lt;&gt;"",C6&lt;$C$5)</formula>
    </cfRule>
  </conditionalFormatting>
  <conditionalFormatting sqref="D6:D57">
    <cfRule type="expression" priority="4" aboveAverage="0" equalAverage="0" bottom="0" percent="0" rank="0" text="" dxfId="0">
      <formula>AND(D6&lt;&gt;"",D6&gt;=$D$5)</formula>
    </cfRule>
    <cfRule type="expression" priority="5" aboveAverage="0" equalAverage="0" bottom="0" percent="0" rank="0" text="" dxfId="1">
      <formula>AND(D6&lt;&gt;"",D6&lt;$D$5)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9"/>
    <col collapsed="false" customWidth="true" hidden="false" outlineLevel="0" max="8" min="8" style="0" width="20"/>
    <col collapsed="false" customWidth="true" hidden="false" outlineLevel="0" max="9" min="9" style="0" width="12"/>
    <col collapsed="false" customWidth="true" hidden="false" outlineLevel="0" max="10" min="10" style="0" width="15"/>
  </cols>
  <sheetData>
    <row r="1" customFormat="false" ht="25.5" hidden="false" customHeight="true" outlineLevel="0" collapsed="false">
      <c r="A1" s="14" t="s">
        <v>34</v>
      </c>
      <c r="B1" s="14"/>
      <c r="C1" s="14"/>
      <c r="D1" s="14"/>
      <c r="E1" s="14"/>
      <c r="F1" s="14"/>
      <c r="G1" s="14"/>
      <c r="H1" s="14"/>
      <c r="I1" s="14"/>
      <c r="J1" s="14"/>
    </row>
    <row r="2" customFormat="false" ht="15" hidden="false" customHeight="false" outlineLevel="0" collapsed="false">
      <c r="A2" s="15" t="s">
        <v>35</v>
      </c>
      <c r="B2" s="15"/>
      <c r="C2" s="15"/>
      <c r="D2" s="15"/>
      <c r="E2" s="15"/>
      <c r="F2" s="15"/>
      <c r="G2" s="15"/>
      <c r="H2" s="15"/>
      <c r="I2" s="15"/>
      <c r="J2" s="15"/>
    </row>
    <row r="4" customFormat="false" ht="23.85" hidden="false" customHeight="false" outlineLevel="0" collapsed="false">
      <c r="A4" s="16" t="s">
        <v>23</v>
      </c>
      <c r="B4" s="16" t="s">
        <v>24</v>
      </c>
      <c r="C4" s="16" t="s">
        <v>10</v>
      </c>
      <c r="D4" s="16" t="s">
        <v>36</v>
      </c>
      <c r="E4" s="16" t="s">
        <v>37</v>
      </c>
      <c r="F4" s="16" t="s">
        <v>14</v>
      </c>
      <c r="G4" s="16" t="s">
        <v>38</v>
      </c>
      <c r="H4" s="16" t="s">
        <v>12</v>
      </c>
      <c r="I4" s="16" t="s">
        <v>39</v>
      </c>
      <c r="J4" s="16" t="s">
        <v>19</v>
      </c>
    </row>
    <row r="5" customFormat="false" ht="15" hidden="false" customHeight="true" outlineLevel="0" collapsed="false">
      <c r="A5" s="17" t="s">
        <v>28</v>
      </c>
      <c r="B5" s="17"/>
      <c r="C5" s="19" t="n">
        <v>75</v>
      </c>
      <c r="D5" s="19" t="n">
        <v>70</v>
      </c>
      <c r="E5" s="29" t="n">
        <v>192308</v>
      </c>
      <c r="F5" s="29" t="n">
        <v>48000</v>
      </c>
      <c r="G5" s="30" t="n">
        <f aca="false">IF(F5=0,"",E5/F5)</f>
        <v>4.00641666666667</v>
      </c>
      <c r="H5" s="19" t="n">
        <v>60</v>
      </c>
      <c r="I5" s="29" t="n">
        <f aca="false">IF(H5=0,"",F5/H5)</f>
        <v>800</v>
      </c>
      <c r="J5" s="18" t="n">
        <f aca="false">IF(D5=0,"",H5/D5)</f>
        <v>0.857142857142857</v>
      </c>
    </row>
    <row r="6" customFormat="false" ht="15" hidden="false" customHeight="false" outlineLevel="0" collapsed="false">
      <c r="A6" s="20" t="n">
        <v>1</v>
      </c>
      <c r="B6" s="21" t="n">
        <v>46181</v>
      </c>
      <c r="C6" s="31" t="n">
        <f aca="false">Inbound!D6</f>
        <v>0</v>
      </c>
      <c r="D6" s="31" t="n">
        <f aca="false">Inbound!E6+Outbound!D6</f>
        <v>0</v>
      </c>
      <c r="E6" s="32"/>
      <c r="F6" s="32"/>
      <c r="G6" s="33" t="str">
        <f aca="false">IF(F6=0,"",E6/F6)</f>
        <v/>
      </c>
      <c r="H6" s="23"/>
      <c r="I6" s="32" t="str">
        <f aca="false">IF(H6=0,"",F6/H6)</f>
        <v/>
      </c>
      <c r="J6" s="22" t="str">
        <f aca="false">IF(D6=0,"",H6/D6)</f>
        <v/>
      </c>
    </row>
    <row r="7" customFormat="false" ht="15" hidden="false" customHeight="false" outlineLevel="0" collapsed="false">
      <c r="A7" s="24" t="n">
        <v>2</v>
      </c>
      <c r="B7" s="25" t="n">
        <v>46188</v>
      </c>
      <c r="C7" s="31" t="n">
        <f aca="false">Inbound!D7</f>
        <v>0</v>
      </c>
      <c r="D7" s="31" t="n">
        <f aca="false">Inbound!E7+Outbound!D7</f>
        <v>0</v>
      </c>
      <c r="E7" s="32"/>
      <c r="F7" s="32"/>
      <c r="G7" s="33" t="str">
        <f aca="false">IF(F7=0,"",E7/F7)</f>
        <v/>
      </c>
      <c r="H7" s="23"/>
      <c r="I7" s="32" t="str">
        <f aca="false">IF(H7=0,"",F7/H7)</f>
        <v/>
      </c>
      <c r="J7" s="22" t="str">
        <f aca="false">IF(D7=0,"",H7/D7)</f>
        <v/>
      </c>
    </row>
    <row r="8" customFormat="false" ht="15" hidden="false" customHeight="false" outlineLevel="0" collapsed="false">
      <c r="A8" s="20" t="n">
        <v>3</v>
      </c>
      <c r="B8" s="21" t="n">
        <v>46195</v>
      </c>
      <c r="C8" s="31" t="n">
        <f aca="false">Inbound!D8</f>
        <v>0</v>
      </c>
      <c r="D8" s="31" t="n">
        <f aca="false">Inbound!E8+Outbound!D8</f>
        <v>0</v>
      </c>
      <c r="E8" s="32"/>
      <c r="F8" s="32"/>
      <c r="G8" s="33" t="str">
        <f aca="false">IF(F8=0,"",E8/F8)</f>
        <v/>
      </c>
      <c r="H8" s="23"/>
      <c r="I8" s="32" t="str">
        <f aca="false">IF(H8=0,"",F8/H8)</f>
        <v/>
      </c>
      <c r="J8" s="22" t="str">
        <f aca="false">IF(D8=0,"",H8/D8)</f>
        <v/>
      </c>
    </row>
    <row r="9" customFormat="false" ht="15" hidden="false" customHeight="false" outlineLevel="0" collapsed="false">
      <c r="A9" s="24" t="n">
        <v>4</v>
      </c>
      <c r="B9" s="25" t="n">
        <v>46202</v>
      </c>
      <c r="C9" s="31" t="n">
        <f aca="false">Inbound!D9</f>
        <v>0</v>
      </c>
      <c r="D9" s="31" t="n">
        <f aca="false">Inbound!E9+Outbound!D9</f>
        <v>0</v>
      </c>
      <c r="E9" s="32"/>
      <c r="F9" s="32"/>
      <c r="G9" s="33" t="str">
        <f aca="false">IF(F9=0,"",E9/F9)</f>
        <v/>
      </c>
      <c r="H9" s="23"/>
      <c r="I9" s="32" t="str">
        <f aca="false">IF(H9=0,"",F9/H9)</f>
        <v/>
      </c>
      <c r="J9" s="22" t="str">
        <f aca="false">IF(D9=0,"",H9/D9)</f>
        <v/>
      </c>
    </row>
    <row r="10" customFormat="false" ht="15" hidden="false" customHeight="false" outlineLevel="0" collapsed="false">
      <c r="A10" s="20" t="n">
        <v>5</v>
      </c>
      <c r="B10" s="21" t="n">
        <v>46209</v>
      </c>
      <c r="C10" s="31" t="n">
        <f aca="false">Inbound!D10</f>
        <v>0</v>
      </c>
      <c r="D10" s="31" t="n">
        <f aca="false">Inbound!E10+Outbound!D10</f>
        <v>0</v>
      </c>
      <c r="E10" s="32"/>
      <c r="F10" s="32"/>
      <c r="G10" s="33" t="str">
        <f aca="false">IF(F10=0,"",E10/F10)</f>
        <v/>
      </c>
      <c r="H10" s="23"/>
      <c r="I10" s="32" t="str">
        <f aca="false">IF(H10=0,"",F10/H10)</f>
        <v/>
      </c>
      <c r="J10" s="22" t="str">
        <f aca="false">IF(D10=0,"",H10/D10)</f>
        <v/>
      </c>
    </row>
    <row r="11" customFormat="false" ht="15" hidden="false" customHeight="false" outlineLevel="0" collapsed="false">
      <c r="A11" s="24" t="n">
        <v>6</v>
      </c>
      <c r="B11" s="25" t="n">
        <v>46216</v>
      </c>
      <c r="C11" s="31" t="n">
        <f aca="false">Inbound!D11</f>
        <v>0</v>
      </c>
      <c r="D11" s="31" t="n">
        <f aca="false">Inbound!E11+Outbound!D11</f>
        <v>0</v>
      </c>
      <c r="E11" s="32"/>
      <c r="F11" s="32"/>
      <c r="G11" s="33" t="str">
        <f aca="false">IF(F11=0,"",E11/F11)</f>
        <v/>
      </c>
      <c r="H11" s="23"/>
      <c r="I11" s="32" t="str">
        <f aca="false">IF(H11=0,"",F11/H11)</f>
        <v/>
      </c>
      <c r="J11" s="22" t="str">
        <f aca="false">IF(D11=0,"",H11/D11)</f>
        <v/>
      </c>
    </row>
    <row r="12" customFormat="false" ht="15" hidden="false" customHeight="false" outlineLevel="0" collapsed="false">
      <c r="A12" s="20" t="n">
        <v>7</v>
      </c>
      <c r="B12" s="21" t="n">
        <v>46223</v>
      </c>
      <c r="C12" s="31" t="n">
        <f aca="false">Inbound!D12</f>
        <v>0</v>
      </c>
      <c r="D12" s="31" t="n">
        <f aca="false">Inbound!E12+Outbound!D12</f>
        <v>0</v>
      </c>
      <c r="E12" s="32"/>
      <c r="F12" s="32"/>
      <c r="G12" s="33" t="str">
        <f aca="false">IF(F12=0,"",E12/F12)</f>
        <v/>
      </c>
      <c r="H12" s="23"/>
      <c r="I12" s="32" t="str">
        <f aca="false">IF(H12=0,"",F12/H12)</f>
        <v/>
      </c>
      <c r="J12" s="22" t="str">
        <f aca="false">IF(D12=0,"",H12/D12)</f>
        <v/>
      </c>
    </row>
    <row r="13" customFormat="false" ht="15" hidden="false" customHeight="false" outlineLevel="0" collapsed="false">
      <c r="A13" s="24" t="n">
        <v>8</v>
      </c>
      <c r="B13" s="25" t="n">
        <v>46230</v>
      </c>
      <c r="C13" s="31" t="n">
        <f aca="false">Inbound!D13</f>
        <v>0</v>
      </c>
      <c r="D13" s="31" t="n">
        <f aca="false">Inbound!E13+Outbound!D13</f>
        <v>0</v>
      </c>
      <c r="E13" s="32"/>
      <c r="F13" s="32"/>
      <c r="G13" s="33" t="str">
        <f aca="false">IF(F13=0,"",E13/F13)</f>
        <v/>
      </c>
      <c r="H13" s="23"/>
      <c r="I13" s="32" t="str">
        <f aca="false">IF(H13=0,"",F13/H13)</f>
        <v/>
      </c>
      <c r="J13" s="22" t="str">
        <f aca="false">IF(D13=0,"",H13/D13)</f>
        <v/>
      </c>
    </row>
    <row r="14" customFormat="false" ht="15" hidden="false" customHeight="false" outlineLevel="0" collapsed="false">
      <c r="A14" s="20" t="n">
        <v>9</v>
      </c>
      <c r="B14" s="21" t="n">
        <v>46237</v>
      </c>
      <c r="C14" s="31" t="n">
        <f aca="false">Inbound!D14</f>
        <v>0</v>
      </c>
      <c r="D14" s="31" t="n">
        <f aca="false">Inbound!E14+Outbound!D14</f>
        <v>0</v>
      </c>
      <c r="E14" s="32"/>
      <c r="F14" s="32"/>
      <c r="G14" s="33" t="str">
        <f aca="false">IF(F14=0,"",E14/F14)</f>
        <v/>
      </c>
      <c r="H14" s="23"/>
      <c r="I14" s="32" t="str">
        <f aca="false">IF(H14=0,"",F14/H14)</f>
        <v/>
      </c>
      <c r="J14" s="22" t="str">
        <f aca="false">IF(D14=0,"",H14/D14)</f>
        <v/>
      </c>
    </row>
    <row r="15" customFormat="false" ht="15" hidden="false" customHeight="false" outlineLevel="0" collapsed="false">
      <c r="A15" s="24" t="n">
        <v>10</v>
      </c>
      <c r="B15" s="25" t="n">
        <v>46244</v>
      </c>
      <c r="C15" s="31" t="n">
        <f aca="false">Inbound!D15</f>
        <v>0</v>
      </c>
      <c r="D15" s="31" t="n">
        <f aca="false">Inbound!E15+Outbound!D15</f>
        <v>0</v>
      </c>
      <c r="E15" s="32"/>
      <c r="F15" s="32"/>
      <c r="G15" s="33" t="str">
        <f aca="false">IF(F15=0,"",E15/F15)</f>
        <v/>
      </c>
      <c r="H15" s="23"/>
      <c r="I15" s="32" t="str">
        <f aca="false">IF(H15=0,"",F15/H15)</f>
        <v/>
      </c>
      <c r="J15" s="22" t="str">
        <f aca="false">IF(D15=0,"",H15/D15)</f>
        <v/>
      </c>
    </row>
    <row r="16" customFormat="false" ht="15" hidden="false" customHeight="false" outlineLevel="0" collapsed="false">
      <c r="A16" s="20" t="n">
        <v>11</v>
      </c>
      <c r="B16" s="21" t="n">
        <v>46251</v>
      </c>
      <c r="C16" s="31" t="n">
        <f aca="false">Inbound!D16</f>
        <v>0</v>
      </c>
      <c r="D16" s="31" t="n">
        <f aca="false">Inbound!E16+Outbound!D16</f>
        <v>0</v>
      </c>
      <c r="E16" s="32"/>
      <c r="F16" s="32"/>
      <c r="G16" s="33" t="str">
        <f aca="false">IF(F16=0,"",E16/F16)</f>
        <v/>
      </c>
      <c r="H16" s="23"/>
      <c r="I16" s="32" t="str">
        <f aca="false">IF(H16=0,"",F16/H16)</f>
        <v/>
      </c>
      <c r="J16" s="22" t="str">
        <f aca="false">IF(D16=0,"",H16/D16)</f>
        <v/>
      </c>
    </row>
    <row r="17" customFormat="false" ht="15" hidden="false" customHeight="false" outlineLevel="0" collapsed="false">
      <c r="A17" s="24" t="n">
        <v>12</v>
      </c>
      <c r="B17" s="25" t="n">
        <v>46258</v>
      </c>
      <c r="C17" s="31" t="n">
        <f aca="false">Inbound!D17</f>
        <v>0</v>
      </c>
      <c r="D17" s="31" t="n">
        <f aca="false">Inbound!E17+Outbound!D17</f>
        <v>0</v>
      </c>
      <c r="E17" s="32"/>
      <c r="F17" s="32"/>
      <c r="G17" s="33" t="str">
        <f aca="false">IF(F17=0,"",E17/F17)</f>
        <v/>
      </c>
      <c r="H17" s="23"/>
      <c r="I17" s="32" t="str">
        <f aca="false">IF(H17=0,"",F17/H17)</f>
        <v/>
      </c>
      <c r="J17" s="22" t="str">
        <f aca="false">IF(D17=0,"",H17/D17)</f>
        <v/>
      </c>
    </row>
    <row r="18" customFormat="false" ht="15" hidden="false" customHeight="false" outlineLevel="0" collapsed="false">
      <c r="A18" s="20" t="n">
        <v>13</v>
      </c>
      <c r="B18" s="21" t="n">
        <v>46265</v>
      </c>
      <c r="C18" s="31" t="n">
        <f aca="false">Inbound!D18</f>
        <v>0</v>
      </c>
      <c r="D18" s="31" t="n">
        <f aca="false">Inbound!E18+Outbound!D18</f>
        <v>0</v>
      </c>
      <c r="E18" s="32"/>
      <c r="F18" s="32"/>
      <c r="G18" s="33" t="str">
        <f aca="false">IF(F18=0,"",E18/F18)</f>
        <v/>
      </c>
      <c r="H18" s="23"/>
      <c r="I18" s="32" t="str">
        <f aca="false">IF(H18=0,"",F18/H18)</f>
        <v/>
      </c>
      <c r="J18" s="22" t="str">
        <f aca="false">IF(D18=0,"",H18/D18)</f>
        <v/>
      </c>
    </row>
    <row r="19" customFormat="false" ht="15" hidden="false" customHeight="false" outlineLevel="0" collapsed="false">
      <c r="A19" s="24" t="n">
        <v>14</v>
      </c>
      <c r="B19" s="25" t="n">
        <v>46272</v>
      </c>
      <c r="C19" s="31" t="n">
        <f aca="false">Inbound!D19</f>
        <v>0</v>
      </c>
      <c r="D19" s="31" t="n">
        <f aca="false">Inbound!E19+Outbound!D19</f>
        <v>0</v>
      </c>
      <c r="E19" s="32"/>
      <c r="F19" s="32"/>
      <c r="G19" s="33" t="str">
        <f aca="false">IF(F19=0,"",E19/F19)</f>
        <v/>
      </c>
      <c r="H19" s="23"/>
      <c r="I19" s="32" t="str">
        <f aca="false">IF(H19=0,"",F19/H19)</f>
        <v/>
      </c>
      <c r="J19" s="22" t="str">
        <f aca="false">IF(D19=0,"",H19/D19)</f>
        <v/>
      </c>
    </row>
    <row r="20" customFormat="false" ht="15" hidden="false" customHeight="false" outlineLevel="0" collapsed="false">
      <c r="A20" s="20" t="n">
        <v>15</v>
      </c>
      <c r="B20" s="21" t="n">
        <v>46279</v>
      </c>
      <c r="C20" s="31" t="n">
        <f aca="false">Inbound!D20</f>
        <v>0</v>
      </c>
      <c r="D20" s="31" t="n">
        <f aca="false">Inbound!E20+Outbound!D20</f>
        <v>0</v>
      </c>
      <c r="E20" s="32"/>
      <c r="F20" s="32"/>
      <c r="G20" s="33" t="str">
        <f aca="false">IF(F20=0,"",E20/F20)</f>
        <v/>
      </c>
      <c r="H20" s="23"/>
      <c r="I20" s="32" t="str">
        <f aca="false">IF(H20=0,"",F20/H20)</f>
        <v/>
      </c>
      <c r="J20" s="22" t="str">
        <f aca="false">IF(D20=0,"",H20/D20)</f>
        <v/>
      </c>
    </row>
    <row r="21" customFormat="false" ht="15" hidden="false" customHeight="false" outlineLevel="0" collapsed="false">
      <c r="A21" s="24" t="n">
        <v>16</v>
      </c>
      <c r="B21" s="25" t="n">
        <v>46286</v>
      </c>
      <c r="C21" s="31" t="n">
        <f aca="false">Inbound!D21</f>
        <v>0</v>
      </c>
      <c r="D21" s="31" t="n">
        <f aca="false">Inbound!E21+Outbound!D21</f>
        <v>0</v>
      </c>
      <c r="E21" s="32"/>
      <c r="F21" s="32"/>
      <c r="G21" s="33" t="str">
        <f aca="false">IF(F21=0,"",E21/F21)</f>
        <v/>
      </c>
      <c r="H21" s="23"/>
      <c r="I21" s="32" t="str">
        <f aca="false">IF(H21=0,"",F21/H21)</f>
        <v/>
      </c>
      <c r="J21" s="22" t="str">
        <f aca="false">IF(D21=0,"",H21/D21)</f>
        <v/>
      </c>
    </row>
    <row r="22" customFormat="false" ht="15" hidden="false" customHeight="false" outlineLevel="0" collapsed="false">
      <c r="A22" s="20" t="n">
        <v>17</v>
      </c>
      <c r="B22" s="21" t="n">
        <v>46293</v>
      </c>
      <c r="C22" s="31" t="n">
        <f aca="false">Inbound!D22</f>
        <v>0</v>
      </c>
      <c r="D22" s="31" t="n">
        <f aca="false">Inbound!E22+Outbound!D22</f>
        <v>0</v>
      </c>
      <c r="E22" s="32"/>
      <c r="F22" s="32"/>
      <c r="G22" s="33" t="str">
        <f aca="false">IF(F22=0,"",E22/F22)</f>
        <v/>
      </c>
      <c r="H22" s="23"/>
      <c r="I22" s="32" t="str">
        <f aca="false">IF(H22=0,"",F22/H22)</f>
        <v/>
      </c>
      <c r="J22" s="22" t="str">
        <f aca="false">IF(D22=0,"",H22/D22)</f>
        <v/>
      </c>
    </row>
    <row r="23" customFormat="false" ht="15" hidden="false" customHeight="false" outlineLevel="0" collapsed="false">
      <c r="A23" s="24" t="n">
        <v>18</v>
      </c>
      <c r="B23" s="25" t="n">
        <v>46300</v>
      </c>
      <c r="C23" s="31" t="n">
        <f aca="false">Inbound!D23</f>
        <v>0</v>
      </c>
      <c r="D23" s="31" t="n">
        <f aca="false">Inbound!E23+Outbound!D23</f>
        <v>0</v>
      </c>
      <c r="E23" s="32"/>
      <c r="F23" s="32"/>
      <c r="G23" s="33" t="str">
        <f aca="false">IF(F23=0,"",E23/F23)</f>
        <v/>
      </c>
      <c r="H23" s="23"/>
      <c r="I23" s="32" t="str">
        <f aca="false">IF(H23=0,"",F23/H23)</f>
        <v/>
      </c>
      <c r="J23" s="22" t="str">
        <f aca="false">IF(D23=0,"",H23/D23)</f>
        <v/>
      </c>
    </row>
    <row r="24" customFormat="false" ht="15" hidden="false" customHeight="false" outlineLevel="0" collapsed="false">
      <c r="A24" s="20" t="n">
        <v>19</v>
      </c>
      <c r="B24" s="21" t="n">
        <v>46307</v>
      </c>
      <c r="C24" s="31" t="n">
        <f aca="false">Inbound!D24</f>
        <v>0</v>
      </c>
      <c r="D24" s="31" t="n">
        <f aca="false">Inbound!E24+Outbound!D24</f>
        <v>0</v>
      </c>
      <c r="E24" s="32"/>
      <c r="F24" s="32"/>
      <c r="G24" s="33" t="str">
        <f aca="false">IF(F24=0,"",E24/F24)</f>
        <v/>
      </c>
      <c r="H24" s="23"/>
      <c r="I24" s="32" t="str">
        <f aca="false">IF(H24=0,"",F24/H24)</f>
        <v/>
      </c>
      <c r="J24" s="22" t="str">
        <f aca="false">IF(D24=0,"",H24/D24)</f>
        <v/>
      </c>
    </row>
    <row r="25" customFormat="false" ht="15" hidden="false" customHeight="false" outlineLevel="0" collapsed="false">
      <c r="A25" s="24" t="n">
        <v>20</v>
      </c>
      <c r="B25" s="25" t="n">
        <v>46314</v>
      </c>
      <c r="C25" s="31" t="n">
        <f aca="false">Inbound!D25</f>
        <v>0</v>
      </c>
      <c r="D25" s="31" t="n">
        <f aca="false">Inbound!E25+Outbound!D25</f>
        <v>0</v>
      </c>
      <c r="E25" s="32"/>
      <c r="F25" s="32"/>
      <c r="G25" s="33" t="str">
        <f aca="false">IF(F25=0,"",E25/F25)</f>
        <v/>
      </c>
      <c r="H25" s="23"/>
      <c r="I25" s="32" t="str">
        <f aca="false">IF(H25=0,"",F25/H25)</f>
        <v/>
      </c>
      <c r="J25" s="22" t="str">
        <f aca="false">IF(D25=0,"",H25/D25)</f>
        <v/>
      </c>
    </row>
    <row r="26" customFormat="false" ht="15" hidden="false" customHeight="false" outlineLevel="0" collapsed="false">
      <c r="A26" s="20" t="n">
        <v>21</v>
      </c>
      <c r="B26" s="21" t="n">
        <v>46321</v>
      </c>
      <c r="C26" s="31" t="n">
        <f aca="false">Inbound!D26</f>
        <v>0</v>
      </c>
      <c r="D26" s="31" t="n">
        <f aca="false">Inbound!E26+Outbound!D26</f>
        <v>0</v>
      </c>
      <c r="E26" s="32"/>
      <c r="F26" s="32"/>
      <c r="G26" s="33" t="str">
        <f aca="false">IF(F26=0,"",E26/F26)</f>
        <v/>
      </c>
      <c r="H26" s="23"/>
      <c r="I26" s="32" t="str">
        <f aca="false">IF(H26=0,"",F26/H26)</f>
        <v/>
      </c>
      <c r="J26" s="22" t="str">
        <f aca="false">IF(D26=0,"",H26/D26)</f>
        <v/>
      </c>
    </row>
    <row r="27" customFormat="false" ht="15" hidden="false" customHeight="false" outlineLevel="0" collapsed="false">
      <c r="A27" s="24" t="n">
        <v>22</v>
      </c>
      <c r="B27" s="25" t="n">
        <v>46328</v>
      </c>
      <c r="C27" s="31" t="n">
        <f aca="false">Inbound!D27</f>
        <v>0</v>
      </c>
      <c r="D27" s="31" t="n">
        <f aca="false">Inbound!E27+Outbound!D27</f>
        <v>0</v>
      </c>
      <c r="E27" s="32"/>
      <c r="F27" s="32"/>
      <c r="G27" s="33" t="str">
        <f aca="false">IF(F27=0,"",E27/F27)</f>
        <v/>
      </c>
      <c r="H27" s="23"/>
      <c r="I27" s="32" t="str">
        <f aca="false">IF(H27=0,"",F27/H27)</f>
        <v/>
      </c>
      <c r="J27" s="22" t="str">
        <f aca="false">IF(D27=0,"",H27/D27)</f>
        <v/>
      </c>
    </row>
    <row r="28" customFormat="false" ht="15" hidden="false" customHeight="false" outlineLevel="0" collapsed="false">
      <c r="A28" s="20" t="n">
        <v>23</v>
      </c>
      <c r="B28" s="21" t="n">
        <v>46335</v>
      </c>
      <c r="C28" s="31" t="n">
        <f aca="false">Inbound!D28</f>
        <v>0</v>
      </c>
      <c r="D28" s="31" t="n">
        <f aca="false">Inbound!E28+Outbound!D28</f>
        <v>0</v>
      </c>
      <c r="E28" s="32"/>
      <c r="F28" s="32"/>
      <c r="G28" s="33" t="str">
        <f aca="false">IF(F28=0,"",E28/F28)</f>
        <v/>
      </c>
      <c r="H28" s="23"/>
      <c r="I28" s="32" t="str">
        <f aca="false">IF(H28=0,"",F28/H28)</f>
        <v/>
      </c>
      <c r="J28" s="22" t="str">
        <f aca="false">IF(D28=0,"",H28/D28)</f>
        <v/>
      </c>
    </row>
    <row r="29" customFormat="false" ht="15" hidden="false" customHeight="false" outlineLevel="0" collapsed="false">
      <c r="A29" s="24" t="n">
        <v>24</v>
      </c>
      <c r="B29" s="25" t="n">
        <v>46342</v>
      </c>
      <c r="C29" s="31" t="n">
        <f aca="false">Inbound!D29</f>
        <v>0</v>
      </c>
      <c r="D29" s="31" t="n">
        <f aca="false">Inbound!E29+Outbound!D29</f>
        <v>0</v>
      </c>
      <c r="E29" s="32"/>
      <c r="F29" s="32"/>
      <c r="G29" s="33" t="str">
        <f aca="false">IF(F29=0,"",E29/F29)</f>
        <v/>
      </c>
      <c r="H29" s="23"/>
      <c r="I29" s="32" t="str">
        <f aca="false">IF(H29=0,"",F29/H29)</f>
        <v/>
      </c>
      <c r="J29" s="22" t="str">
        <f aca="false">IF(D29=0,"",H29/D29)</f>
        <v/>
      </c>
    </row>
    <row r="30" customFormat="false" ht="15" hidden="false" customHeight="false" outlineLevel="0" collapsed="false">
      <c r="A30" s="20" t="n">
        <v>25</v>
      </c>
      <c r="B30" s="21" t="n">
        <v>46349</v>
      </c>
      <c r="C30" s="31" t="n">
        <f aca="false">Inbound!D30</f>
        <v>0</v>
      </c>
      <c r="D30" s="31" t="n">
        <f aca="false">Inbound!E30+Outbound!D30</f>
        <v>0</v>
      </c>
      <c r="E30" s="32"/>
      <c r="F30" s="32"/>
      <c r="G30" s="33" t="str">
        <f aca="false">IF(F30=0,"",E30/F30)</f>
        <v/>
      </c>
      <c r="H30" s="23"/>
      <c r="I30" s="32" t="str">
        <f aca="false">IF(H30=0,"",F30/H30)</f>
        <v/>
      </c>
      <c r="J30" s="22" t="str">
        <f aca="false">IF(D30=0,"",H30/D30)</f>
        <v/>
      </c>
    </row>
    <row r="31" customFormat="false" ht="15" hidden="false" customHeight="false" outlineLevel="0" collapsed="false">
      <c r="A31" s="24" t="n">
        <v>26</v>
      </c>
      <c r="B31" s="25" t="n">
        <v>46356</v>
      </c>
      <c r="C31" s="31" t="n">
        <f aca="false">Inbound!D31</f>
        <v>0</v>
      </c>
      <c r="D31" s="31" t="n">
        <f aca="false">Inbound!E31+Outbound!D31</f>
        <v>0</v>
      </c>
      <c r="E31" s="32"/>
      <c r="F31" s="32"/>
      <c r="G31" s="33" t="str">
        <f aca="false">IF(F31=0,"",E31/F31)</f>
        <v/>
      </c>
      <c r="H31" s="23"/>
      <c r="I31" s="32" t="str">
        <f aca="false">IF(H31=0,"",F31/H31)</f>
        <v/>
      </c>
      <c r="J31" s="22" t="str">
        <f aca="false">IF(D31=0,"",H31/D31)</f>
        <v/>
      </c>
    </row>
    <row r="32" customFormat="false" ht="15" hidden="false" customHeight="false" outlineLevel="0" collapsed="false">
      <c r="A32" s="20" t="n">
        <v>27</v>
      </c>
      <c r="B32" s="21" t="n">
        <v>46363</v>
      </c>
      <c r="C32" s="31" t="n">
        <f aca="false">Inbound!D32</f>
        <v>0</v>
      </c>
      <c r="D32" s="31" t="n">
        <f aca="false">Inbound!E32+Outbound!D32</f>
        <v>0</v>
      </c>
      <c r="E32" s="32"/>
      <c r="F32" s="32"/>
      <c r="G32" s="33" t="str">
        <f aca="false">IF(F32=0,"",E32/F32)</f>
        <v/>
      </c>
      <c r="H32" s="23"/>
      <c r="I32" s="32" t="str">
        <f aca="false">IF(H32=0,"",F32/H32)</f>
        <v/>
      </c>
      <c r="J32" s="22" t="str">
        <f aca="false">IF(D32=0,"",H32/D32)</f>
        <v/>
      </c>
    </row>
    <row r="33" customFormat="false" ht="15" hidden="false" customHeight="false" outlineLevel="0" collapsed="false">
      <c r="A33" s="24" t="n">
        <v>28</v>
      </c>
      <c r="B33" s="25" t="n">
        <v>46370</v>
      </c>
      <c r="C33" s="31" t="n">
        <f aca="false">Inbound!D33</f>
        <v>0</v>
      </c>
      <c r="D33" s="31" t="n">
        <f aca="false">Inbound!E33+Outbound!D33</f>
        <v>0</v>
      </c>
      <c r="E33" s="32"/>
      <c r="F33" s="32"/>
      <c r="G33" s="33" t="str">
        <f aca="false">IF(F33=0,"",E33/F33)</f>
        <v/>
      </c>
      <c r="H33" s="23"/>
      <c r="I33" s="32" t="str">
        <f aca="false">IF(H33=0,"",F33/H33)</f>
        <v/>
      </c>
      <c r="J33" s="22" t="str">
        <f aca="false">IF(D33=0,"",H33/D33)</f>
        <v/>
      </c>
    </row>
    <row r="34" customFormat="false" ht="15" hidden="false" customHeight="false" outlineLevel="0" collapsed="false">
      <c r="A34" s="20" t="n">
        <v>29</v>
      </c>
      <c r="B34" s="21" t="n">
        <v>46377</v>
      </c>
      <c r="C34" s="31" t="n">
        <f aca="false">Inbound!D34</f>
        <v>0</v>
      </c>
      <c r="D34" s="31" t="n">
        <f aca="false">Inbound!E34+Outbound!D34</f>
        <v>0</v>
      </c>
      <c r="E34" s="32"/>
      <c r="F34" s="32"/>
      <c r="G34" s="33" t="str">
        <f aca="false">IF(F34=0,"",E34/F34)</f>
        <v/>
      </c>
      <c r="H34" s="23"/>
      <c r="I34" s="32" t="str">
        <f aca="false">IF(H34=0,"",F34/H34)</f>
        <v/>
      </c>
      <c r="J34" s="22" t="str">
        <f aca="false">IF(D34=0,"",H34/D34)</f>
        <v/>
      </c>
    </row>
    <row r="35" customFormat="false" ht="15" hidden="false" customHeight="false" outlineLevel="0" collapsed="false">
      <c r="A35" s="24" t="n">
        <v>30</v>
      </c>
      <c r="B35" s="25" t="n">
        <v>46384</v>
      </c>
      <c r="C35" s="31" t="n">
        <f aca="false">Inbound!D35</f>
        <v>0</v>
      </c>
      <c r="D35" s="31" t="n">
        <f aca="false">Inbound!E35+Outbound!D35</f>
        <v>0</v>
      </c>
      <c r="E35" s="32"/>
      <c r="F35" s="32"/>
      <c r="G35" s="33" t="str">
        <f aca="false">IF(F35=0,"",E35/F35)</f>
        <v/>
      </c>
      <c r="H35" s="23"/>
      <c r="I35" s="32" t="str">
        <f aca="false">IF(H35=0,"",F35/H35)</f>
        <v/>
      </c>
      <c r="J35" s="22" t="str">
        <f aca="false">IF(D35=0,"",H35/D35)</f>
        <v/>
      </c>
    </row>
    <row r="36" customFormat="false" ht="15" hidden="false" customHeight="false" outlineLevel="0" collapsed="false">
      <c r="A36" s="20" t="n">
        <v>31</v>
      </c>
      <c r="B36" s="21" t="n">
        <v>46391</v>
      </c>
      <c r="C36" s="31" t="n">
        <f aca="false">Inbound!D36</f>
        <v>0</v>
      </c>
      <c r="D36" s="31" t="n">
        <f aca="false">Inbound!E36+Outbound!D36</f>
        <v>0</v>
      </c>
      <c r="E36" s="32"/>
      <c r="F36" s="32"/>
      <c r="G36" s="33" t="str">
        <f aca="false">IF(F36=0,"",E36/F36)</f>
        <v/>
      </c>
      <c r="H36" s="23"/>
      <c r="I36" s="32" t="str">
        <f aca="false">IF(H36=0,"",F36/H36)</f>
        <v/>
      </c>
      <c r="J36" s="22" t="str">
        <f aca="false">IF(D36=0,"",H36/D36)</f>
        <v/>
      </c>
    </row>
    <row r="37" customFormat="false" ht="15" hidden="false" customHeight="false" outlineLevel="0" collapsed="false">
      <c r="A37" s="24" t="n">
        <v>32</v>
      </c>
      <c r="B37" s="25" t="n">
        <v>46398</v>
      </c>
      <c r="C37" s="31" t="n">
        <f aca="false">Inbound!D37</f>
        <v>0</v>
      </c>
      <c r="D37" s="31" t="n">
        <f aca="false">Inbound!E37+Outbound!D37</f>
        <v>0</v>
      </c>
      <c r="E37" s="32"/>
      <c r="F37" s="32"/>
      <c r="G37" s="33" t="str">
        <f aca="false">IF(F37=0,"",E37/F37)</f>
        <v/>
      </c>
      <c r="H37" s="23"/>
      <c r="I37" s="32" t="str">
        <f aca="false">IF(H37=0,"",F37/H37)</f>
        <v/>
      </c>
      <c r="J37" s="22" t="str">
        <f aca="false">IF(D37=0,"",H37/D37)</f>
        <v/>
      </c>
    </row>
    <row r="38" customFormat="false" ht="15" hidden="false" customHeight="false" outlineLevel="0" collapsed="false">
      <c r="A38" s="20" t="n">
        <v>33</v>
      </c>
      <c r="B38" s="21" t="n">
        <v>46405</v>
      </c>
      <c r="C38" s="31" t="n">
        <f aca="false">Inbound!D38</f>
        <v>0</v>
      </c>
      <c r="D38" s="31" t="n">
        <f aca="false">Inbound!E38+Outbound!D38</f>
        <v>0</v>
      </c>
      <c r="E38" s="32"/>
      <c r="F38" s="32"/>
      <c r="G38" s="33" t="str">
        <f aca="false">IF(F38=0,"",E38/F38)</f>
        <v/>
      </c>
      <c r="H38" s="23"/>
      <c r="I38" s="32" t="str">
        <f aca="false">IF(H38=0,"",F38/H38)</f>
        <v/>
      </c>
      <c r="J38" s="22" t="str">
        <f aca="false">IF(D38=0,"",H38/D38)</f>
        <v/>
      </c>
    </row>
    <row r="39" customFormat="false" ht="15" hidden="false" customHeight="false" outlineLevel="0" collapsed="false">
      <c r="A39" s="24" t="n">
        <v>34</v>
      </c>
      <c r="B39" s="25" t="n">
        <v>46412</v>
      </c>
      <c r="C39" s="31" t="n">
        <f aca="false">Inbound!D39</f>
        <v>0</v>
      </c>
      <c r="D39" s="31" t="n">
        <f aca="false">Inbound!E39+Outbound!D39</f>
        <v>0</v>
      </c>
      <c r="E39" s="32"/>
      <c r="F39" s="32"/>
      <c r="G39" s="33" t="str">
        <f aca="false">IF(F39=0,"",E39/F39)</f>
        <v/>
      </c>
      <c r="H39" s="23"/>
      <c r="I39" s="32" t="str">
        <f aca="false">IF(H39=0,"",F39/H39)</f>
        <v/>
      </c>
      <c r="J39" s="22" t="str">
        <f aca="false">IF(D39=0,"",H39/D39)</f>
        <v/>
      </c>
    </row>
    <row r="40" customFormat="false" ht="15" hidden="false" customHeight="false" outlineLevel="0" collapsed="false">
      <c r="A40" s="20" t="n">
        <v>35</v>
      </c>
      <c r="B40" s="21" t="n">
        <v>46419</v>
      </c>
      <c r="C40" s="31" t="n">
        <f aca="false">Inbound!D40</f>
        <v>0</v>
      </c>
      <c r="D40" s="31" t="n">
        <f aca="false">Inbound!E40+Outbound!D40</f>
        <v>0</v>
      </c>
      <c r="E40" s="32"/>
      <c r="F40" s="32"/>
      <c r="G40" s="33" t="str">
        <f aca="false">IF(F40=0,"",E40/F40)</f>
        <v/>
      </c>
      <c r="H40" s="23"/>
      <c r="I40" s="32" t="str">
        <f aca="false">IF(H40=0,"",F40/H40)</f>
        <v/>
      </c>
      <c r="J40" s="22" t="str">
        <f aca="false">IF(D40=0,"",H40/D40)</f>
        <v/>
      </c>
    </row>
    <row r="41" customFormat="false" ht="15" hidden="false" customHeight="false" outlineLevel="0" collapsed="false">
      <c r="A41" s="24" t="n">
        <v>36</v>
      </c>
      <c r="B41" s="25" t="n">
        <v>46426</v>
      </c>
      <c r="C41" s="31" t="n">
        <f aca="false">Inbound!D41</f>
        <v>0</v>
      </c>
      <c r="D41" s="31" t="n">
        <f aca="false">Inbound!E41+Outbound!D41</f>
        <v>0</v>
      </c>
      <c r="E41" s="32"/>
      <c r="F41" s="32"/>
      <c r="G41" s="33" t="str">
        <f aca="false">IF(F41=0,"",E41/F41)</f>
        <v/>
      </c>
      <c r="H41" s="23"/>
      <c r="I41" s="32" t="str">
        <f aca="false">IF(H41=0,"",F41/H41)</f>
        <v/>
      </c>
      <c r="J41" s="22" t="str">
        <f aca="false">IF(D41=0,"",H41/D41)</f>
        <v/>
      </c>
    </row>
    <row r="42" customFormat="false" ht="15" hidden="false" customHeight="false" outlineLevel="0" collapsed="false">
      <c r="A42" s="20" t="n">
        <v>37</v>
      </c>
      <c r="B42" s="21" t="n">
        <v>46433</v>
      </c>
      <c r="C42" s="31" t="n">
        <f aca="false">Inbound!D42</f>
        <v>0</v>
      </c>
      <c r="D42" s="31" t="n">
        <f aca="false">Inbound!E42+Outbound!D42</f>
        <v>0</v>
      </c>
      <c r="E42" s="32"/>
      <c r="F42" s="32"/>
      <c r="G42" s="33" t="str">
        <f aca="false">IF(F42=0,"",E42/F42)</f>
        <v/>
      </c>
      <c r="H42" s="23"/>
      <c r="I42" s="32" t="str">
        <f aca="false">IF(H42=0,"",F42/H42)</f>
        <v/>
      </c>
      <c r="J42" s="22" t="str">
        <f aca="false">IF(D42=0,"",H42/D42)</f>
        <v/>
      </c>
    </row>
    <row r="43" customFormat="false" ht="15" hidden="false" customHeight="false" outlineLevel="0" collapsed="false">
      <c r="A43" s="24" t="n">
        <v>38</v>
      </c>
      <c r="B43" s="25" t="n">
        <v>46440</v>
      </c>
      <c r="C43" s="31" t="n">
        <f aca="false">Inbound!D43</f>
        <v>0</v>
      </c>
      <c r="D43" s="31" t="n">
        <f aca="false">Inbound!E43+Outbound!D43</f>
        <v>0</v>
      </c>
      <c r="E43" s="32"/>
      <c r="F43" s="32"/>
      <c r="G43" s="33" t="str">
        <f aca="false">IF(F43=0,"",E43/F43)</f>
        <v/>
      </c>
      <c r="H43" s="23"/>
      <c r="I43" s="32" t="str">
        <f aca="false">IF(H43=0,"",F43/H43)</f>
        <v/>
      </c>
      <c r="J43" s="22" t="str">
        <f aca="false">IF(D43=0,"",H43/D43)</f>
        <v/>
      </c>
    </row>
    <row r="44" customFormat="false" ht="15" hidden="false" customHeight="false" outlineLevel="0" collapsed="false">
      <c r="A44" s="20" t="n">
        <v>39</v>
      </c>
      <c r="B44" s="21" t="n">
        <v>46447</v>
      </c>
      <c r="C44" s="31" t="n">
        <f aca="false">Inbound!D44</f>
        <v>0</v>
      </c>
      <c r="D44" s="31" t="n">
        <f aca="false">Inbound!E44+Outbound!D44</f>
        <v>0</v>
      </c>
      <c r="E44" s="32"/>
      <c r="F44" s="32"/>
      <c r="G44" s="33" t="str">
        <f aca="false">IF(F44=0,"",E44/F44)</f>
        <v/>
      </c>
      <c r="H44" s="23"/>
      <c r="I44" s="32" t="str">
        <f aca="false">IF(H44=0,"",F44/H44)</f>
        <v/>
      </c>
      <c r="J44" s="22" t="str">
        <f aca="false">IF(D44=0,"",H44/D44)</f>
        <v/>
      </c>
    </row>
    <row r="45" customFormat="false" ht="15" hidden="false" customHeight="false" outlineLevel="0" collapsed="false">
      <c r="A45" s="24" t="n">
        <v>40</v>
      </c>
      <c r="B45" s="25" t="n">
        <v>46454</v>
      </c>
      <c r="C45" s="31" t="n">
        <f aca="false">Inbound!D45</f>
        <v>0</v>
      </c>
      <c r="D45" s="31" t="n">
        <f aca="false">Inbound!E45+Outbound!D45</f>
        <v>0</v>
      </c>
      <c r="E45" s="32"/>
      <c r="F45" s="32"/>
      <c r="G45" s="33" t="str">
        <f aca="false">IF(F45=0,"",E45/F45)</f>
        <v/>
      </c>
      <c r="H45" s="23"/>
      <c r="I45" s="32" t="str">
        <f aca="false">IF(H45=0,"",F45/H45)</f>
        <v/>
      </c>
      <c r="J45" s="22" t="str">
        <f aca="false">IF(D45=0,"",H45/D45)</f>
        <v/>
      </c>
    </row>
    <row r="46" customFormat="false" ht="15" hidden="false" customHeight="false" outlineLevel="0" collapsed="false">
      <c r="A46" s="20" t="n">
        <v>41</v>
      </c>
      <c r="B46" s="21" t="n">
        <v>46461</v>
      </c>
      <c r="C46" s="31" t="n">
        <f aca="false">Inbound!D46</f>
        <v>0</v>
      </c>
      <c r="D46" s="31" t="n">
        <f aca="false">Inbound!E46+Outbound!D46</f>
        <v>0</v>
      </c>
      <c r="E46" s="32"/>
      <c r="F46" s="32"/>
      <c r="G46" s="33" t="str">
        <f aca="false">IF(F46=0,"",E46/F46)</f>
        <v/>
      </c>
      <c r="H46" s="23"/>
      <c r="I46" s="32" t="str">
        <f aca="false">IF(H46=0,"",F46/H46)</f>
        <v/>
      </c>
      <c r="J46" s="22" t="str">
        <f aca="false">IF(D46=0,"",H46/D46)</f>
        <v/>
      </c>
    </row>
    <row r="47" customFormat="false" ht="15" hidden="false" customHeight="false" outlineLevel="0" collapsed="false">
      <c r="A47" s="24" t="n">
        <v>42</v>
      </c>
      <c r="B47" s="25" t="n">
        <v>46468</v>
      </c>
      <c r="C47" s="31" t="n">
        <f aca="false">Inbound!D47</f>
        <v>0</v>
      </c>
      <c r="D47" s="31" t="n">
        <f aca="false">Inbound!E47+Outbound!D47</f>
        <v>0</v>
      </c>
      <c r="E47" s="32"/>
      <c r="F47" s="32"/>
      <c r="G47" s="33" t="str">
        <f aca="false">IF(F47=0,"",E47/F47)</f>
        <v/>
      </c>
      <c r="H47" s="23"/>
      <c r="I47" s="32" t="str">
        <f aca="false">IF(H47=0,"",F47/H47)</f>
        <v/>
      </c>
      <c r="J47" s="22" t="str">
        <f aca="false">IF(D47=0,"",H47/D47)</f>
        <v/>
      </c>
    </row>
    <row r="48" customFormat="false" ht="15" hidden="false" customHeight="false" outlineLevel="0" collapsed="false">
      <c r="A48" s="20" t="n">
        <v>43</v>
      </c>
      <c r="B48" s="21" t="n">
        <v>46475</v>
      </c>
      <c r="C48" s="31" t="n">
        <f aca="false">Inbound!D48</f>
        <v>0</v>
      </c>
      <c r="D48" s="31" t="n">
        <f aca="false">Inbound!E48+Outbound!D48</f>
        <v>0</v>
      </c>
      <c r="E48" s="32"/>
      <c r="F48" s="32"/>
      <c r="G48" s="33" t="str">
        <f aca="false">IF(F48=0,"",E48/F48)</f>
        <v/>
      </c>
      <c r="H48" s="23"/>
      <c r="I48" s="32" t="str">
        <f aca="false">IF(H48=0,"",F48/H48)</f>
        <v/>
      </c>
      <c r="J48" s="22" t="str">
        <f aca="false">IF(D48=0,"",H48/D48)</f>
        <v/>
      </c>
    </row>
    <row r="49" customFormat="false" ht="15" hidden="false" customHeight="false" outlineLevel="0" collapsed="false">
      <c r="A49" s="24" t="n">
        <v>44</v>
      </c>
      <c r="B49" s="25" t="n">
        <v>46482</v>
      </c>
      <c r="C49" s="31" t="n">
        <f aca="false">Inbound!D49</f>
        <v>0</v>
      </c>
      <c r="D49" s="31" t="n">
        <f aca="false">Inbound!E49+Outbound!D49</f>
        <v>0</v>
      </c>
      <c r="E49" s="32"/>
      <c r="F49" s="32"/>
      <c r="G49" s="33" t="str">
        <f aca="false">IF(F49=0,"",E49/F49)</f>
        <v/>
      </c>
      <c r="H49" s="23"/>
      <c r="I49" s="32" t="str">
        <f aca="false">IF(H49=0,"",F49/H49)</f>
        <v/>
      </c>
      <c r="J49" s="22" t="str">
        <f aca="false">IF(D49=0,"",H49/D49)</f>
        <v/>
      </c>
    </row>
    <row r="50" customFormat="false" ht="15" hidden="false" customHeight="false" outlineLevel="0" collapsed="false">
      <c r="A50" s="20" t="n">
        <v>45</v>
      </c>
      <c r="B50" s="21" t="n">
        <v>46489</v>
      </c>
      <c r="C50" s="31" t="n">
        <f aca="false">Inbound!D50</f>
        <v>0</v>
      </c>
      <c r="D50" s="31" t="n">
        <f aca="false">Inbound!E50+Outbound!D50</f>
        <v>0</v>
      </c>
      <c r="E50" s="32"/>
      <c r="F50" s="32"/>
      <c r="G50" s="33" t="str">
        <f aca="false">IF(F50=0,"",E50/F50)</f>
        <v/>
      </c>
      <c r="H50" s="23"/>
      <c r="I50" s="32" t="str">
        <f aca="false">IF(H50=0,"",F50/H50)</f>
        <v/>
      </c>
      <c r="J50" s="22" t="str">
        <f aca="false">IF(D50=0,"",H50/D50)</f>
        <v/>
      </c>
    </row>
    <row r="51" customFormat="false" ht="15" hidden="false" customHeight="false" outlineLevel="0" collapsed="false">
      <c r="A51" s="24" t="n">
        <v>46</v>
      </c>
      <c r="B51" s="25" t="n">
        <v>46496</v>
      </c>
      <c r="C51" s="31" t="n">
        <f aca="false">Inbound!D51</f>
        <v>0</v>
      </c>
      <c r="D51" s="31" t="n">
        <f aca="false">Inbound!E51+Outbound!D51</f>
        <v>0</v>
      </c>
      <c r="E51" s="32"/>
      <c r="F51" s="32"/>
      <c r="G51" s="33" t="str">
        <f aca="false">IF(F51=0,"",E51/F51)</f>
        <v/>
      </c>
      <c r="H51" s="23"/>
      <c r="I51" s="32" t="str">
        <f aca="false">IF(H51=0,"",F51/H51)</f>
        <v/>
      </c>
      <c r="J51" s="22" t="str">
        <f aca="false">IF(D51=0,"",H51/D51)</f>
        <v/>
      </c>
    </row>
    <row r="52" customFormat="false" ht="15" hidden="false" customHeight="false" outlineLevel="0" collapsed="false">
      <c r="A52" s="20" t="n">
        <v>47</v>
      </c>
      <c r="B52" s="21" t="n">
        <v>46503</v>
      </c>
      <c r="C52" s="31" t="n">
        <f aca="false">Inbound!D52</f>
        <v>0</v>
      </c>
      <c r="D52" s="31" t="n">
        <f aca="false">Inbound!E52+Outbound!D52</f>
        <v>0</v>
      </c>
      <c r="E52" s="32"/>
      <c r="F52" s="32"/>
      <c r="G52" s="33" t="str">
        <f aca="false">IF(F52=0,"",E52/F52)</f>
        <v/>
      </c>
      <c r="H52" s="23"/>
      <c r="I52" s="32" t="str">
        <f aca="false">IF(H52=0,"",F52/H52)</f>
        <v/>
      </c>
      <c r="J52" s="22" t="str">
        <f aca="false">IF(D52=0,"",H52/D52)</f>
        <v/>
      </c>
    </row>
    <row r="53" customFormat="false" ht="15" hidden="false" customHeight="false" outlineLevel="0" collapsed="false">
      <c r="A53" s="24" t="n">
        <v>48</v>
      </c>
      <c r="B53" s="25" t="n">
        <v>46510</v>
      </c>
      <c r="C53" s="31" t="n">
        <f aca="false">Inbound!D53</f>
        <v>0</v>
      </c>
      <c r="D53" s="31" t="n">
        <f aca="false">Inbound!E53+Outbound!D53</f>
        <v>0</v>
      </c>
      <c r="E53" s="32"/>
      <c r="F53" s="32"/>
      <c r="G53" s="33" t="str">
        <f aca="false">IF(F53=0,"",E53/F53)</f>
        <v/>
      </c>
      <c r="H53" s="23"/>
      <c r="I53" s="32" t="str">
        <f aca="false">IF(H53=0,"",F53/H53)</f>
        <v/>
      </c>
      <c r="J53" s="22" t="str">
        <f aca="false">IF(D53=0,"",H53/D53)</f>
        <v/>
      </c>
    </row>
    <row r="54" customFormat="false" ht="15" hidden="false" customHeight="false" outlineLevel="0" collapsed="false">
      <c r="A54" s="20" t="n">
        <v>49</v>
      </c>
      <c r="B54" s="21" t="n">
        <v>46517</v>
      </c>
      <c r="C54" s="31" t="n">
        <f aca="false">Inbound!D54</f>
        <v>0</v>
      </c>
      <c r="D54" s="31" t="n">
        <f aca="false">Inbound!E54+Outbound!D54</f>
        <v>0</v>
      </c>
      <c r="E54" s="32"/>
      <c r="F54" s="32"/>
      <c r="G54" s="33" t="str">
        <f aca="false">IF(F54=0,"",E54/F54)</f>
        <v/>
      </c>
      <c r="H54" s="23"/>
      <c r="I54" s="32" t="str">
        <f aca="false">IF(H54=0,"",F54/H54)</f>
        <v/>
      </c>
      <c r="J54" s="22" t="str">
        <f aca="false">IF(D54=0,"",H54/D54)</f>
        <v/>
      </c>
    </row>
    <row r="55" customFormat="false" ht="15" hidden="false" customHeight="false" outlineLevel="0" collapsed="false">
      <c r="A55" s="24" t="n">
        <v>50</v>
      </c>
      <c r="B55" s="25" t="n">
        <v>46524</v>
      </c>
      <c r="C55" s="31" t="n">
        <f aca="false">Inbound!D55</f>
        <v>0</v>
      </c>
      <c r="D55" s="31" t="n">
        <f aca="false">Inbound!E55+Outbound!D55</f>
        <v>0</v>
      </c>
      <c r="E55" s="32"/>
      <c r="F55" s="32"/>
      <c r="G55" s="33" t="str">
        <f aca="false">IF(F55=0,"",E55/F55)</f>
        <v/>
      </c>
      <c r="H55" s="23"/>
      <c r="I55" s="32" t="str">
        <f aca="false">IF(H55=0,"",F55/H55)</f>
        <v/>
      </c>
      <c r="J55" s="22" t="str">
        <f aca="false">IF(D55=0,"",H55/D55)</f>
        <v/>
      </c>
    </row>
    <row r="56" customFormat="false" ht="15" hidden="false" customHeight="false" outlineLevel="0" collapsed="false">
      <c r="A56" s="20" t="n">
        <v>51</v>
      </c>
      <c r="B56" s="21" t="n">
        <v>46531</v>
      </c>
      <c r="C56" s="31" t="n">
        <f aca="false">Inbound!D56</f>
        <v>0</v>
      </c>
      <c r="D56" s="31" t="n">
        <f aca="false">Inbound!E56+Outbound!D56</f>
        <v>0</v>
      </c>
      <c r="E56" s="32"/>
      <c r="F56" s="32"/>
      <c r="G56" s="33" t="str">
        <f aca="false">IF(F56=0,"",E56/F56)</f>
        <v/>
      </c>
      <c r="H56" s="23"/>
      <c r="I56" s="32" t="str">
        <f aca="false">IF(H56=0,"",F56/H56)</f>
        <v/>
      </c>
      <c r="J56" s="22" t="str">
        <f aca="false">IF(D56=0,"",H56/D56)</f>
        <v/>
      </c>
    </row>
    <row r="57" customFormat="false" ht="15" hidden="false" customHeight="false" outlineLevel="0" collapsed="false">
      <c r="A57" s="24" t="n">
        <v>52</v>
      </c>
      <c r="B57" s="25" t="n">
        <v>46538</v>
      </c>
      <c r="C57" s="31" t="n">
        <f aca="false">Inbound!D57</f>
        <v>0</v>
      </c>
      <c r="D57" s="31" t="n">
        <f aca="false">Inbound!E57+Outbound!D57</f>
        <v>0</v>
      </c>
      <c r="E57" s="32"/>
      <c r="F57" s="32"/>
      <c r="G57" s="33" t="str">
        <f aca="false">IF(F57=0,"",E57/F57)</f>
        <v/>
      </c>
      <c r="H57" s="23"/>
      <c r="I57" s="32" t="str">
        <f aca="false">IF(H57=0,"",F57/H57)</f>
        <v/>
      </c>
      <c r="J57" s="22" t="str">
        <f aca="false">IF(D57=0,"",H57/D57)</f>
        <v/>
      </c>
    </row>
    <row r="58" customFormat="false" ht="15" hidden="false" customHeight="true" outlineLevel="0" collapsed="false">
      <c r="A58" s="26" t="s">
        <v>29</v>
      </c>
      <c r="B58" s="26"/>
      <c r="C58" s="28" t="n">
        <f aca="false">SUM(C6:C57)</f>
        <v>0</v>
      </c>
      <c r="D58" s="28" t="n">
        <f aca="false">SUM(D6:D57)</f>
        <v>0</v>
      </c>
      <c r="E58" s="34" t="n">
        <f aca="false">SUM(E6:E57)</f>
        <v>0</v>
      </c>
      <c r="F58" s="34" t="n">
        <f aca="false">SUM(F6:F57)</f>
        <v>0</v>
      </c>
      <c r="G58" s="35" t="str">
        <f aca="false">IF(F58=0,"",E58/F58)</f>
        <v/>
      </c>
      <c r="H58" s="28" t="n">
        <f aca="false">SUM(H6:H57)</f>
        <v>0</v>
      </c>
      <c r="I58" s="34" t="str">
        <f aca="false">IF(H58=0,"",F58/H58)</f>
        <v/>
      </c>
      <c r="J58" s="27" t="str">
        <f aca="false">IF(D58=0,"",H58/D58)</f>
        <v/>
      </c>
    </row>
  </sheetData>
  <mergeCells count="4">
    <mergeCell ref="A1:J1"/>
    <mergeCell ref="A2:J2"/>
    <mergeCell ref="A5:B5"/>
    <mergeCell ref="A58:B58"/>
  </mergeCells>
  <conditionalFormatting sqref="E6:E57">
    <cfRule type="expression" priority="2" aboveAverage="0" equalAverage="0" bottom="0" percent="0" rank="0" text="" dxfId="0">
      <formula>AND(E6&lt;&gt;"",E6&gt;=$E$5)</formula>
    </cfRule>
    <cfRule type="expression" priority="3" aboveAverage="0" equalAverage="0" bottom="0" percent="0" rank="0" text="" dxfId="1">
      <formula>AND(E6&lt;&gt;"",E6&lt;$E$5)</formula>
    </cfRule>
  </conditionalFormatting>
  <conditionalFormatting sqref="G6:G57">
    <cfRule type="expression" priority="4" aboveAverage="0" equalAverage="0" bottom="0" percent="0" rank="0" text="" dxfId="0">
      <formula>AND(G6&lt;&gt;"",G6&gt;=$G$5)</formula>
    </cfRule>
    <cfRule type="expression" priority="5" aboveAverage="0" equalAverage="0" bottom="0" percent="0" rank="0" text="" dxfId="1">
      <formula>AND(G6&lt;&gt;"",G6&lt;$G$5)</formula>
    </cfRule>
  </conditionalFormatting>
  <conditionalFormatting sqref="I6:I57">
    <cfRule type="expression" priority="6" aboveAverage="0" equalAverage="0" bottom="0" percent="0" rank="0" text="" dxfId="0">
      <formula>AND(I6&lt;&gt;"",I6&lt;=$I$5)</formula>
    </cfRule>
    <cfRule type="expression" priority="7" aboveAverage="0" equalAverage="0" bottom="0" percent="0" rank="0" text="" dxfId="1">
      <formula>AND(I6&lt;&gt;"",I6&gt;$I$5)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2026-06-05T21:21:18Z</dcterms:created>
  <dc:creator>openpyxl</dc:creator>
  <dc:description/>
  <dc:language>en-US</dc:language>
  <cp:lastModifiedBy/>
  <dcterms:modified xsi:type="dcterms:W3CDTF">2026-06-05T21:21:19Z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