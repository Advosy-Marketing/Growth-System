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arget Model" sheetId="2" state="visible" r:id="rId4"/>
    <sheet name="Ramp Plan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<sst xmlns="http://schemas.openxmlformats.org/spreadsheetml/2006/main" count="89" uniqueCount="89">
  <si>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EVEREST PLUMBING — Google / PPC Scaling Model ($10M to $20M)</t>
  </si>
  <si>
    <t xml:space="preserve">Built for Advosy Growth · model the path to $20M with Google Search, Local Services Ads &amp; Performance Max</t>
  </si>
  <si>
    <t xml:space="preserve">HOW TO USE</t>
  </si>
  <si>
    <t xml:space="preserve">This workbook turns ad spend into booked jobs and revenue, channel by channel. Change the BLUE cells</t>
  </si>
  <si>
    <t xml:space="preserve">(your assumptions) and every black number recalculates. Start on 'Target Model' for the $20M state, use</t>
  </si>
  <si>
    <t xml:space="preserve">'Ramp Plan' to phase budget in, and 'Unit Economics' to set your max allowable cost per booked job.</t>
  </si>
  <si>
    <t xml:space="preserve">COLOR KEY</t>
  </si>
  <si>
    <t xml:space="preserve">Blue text = an input you can change.    Black text = a formula.    Green text = pulled from another tab.</t>
  </si>
  <si>
    <t xml:space="preserve">Yellow cells = key assumptions worth pressure-testing against your real ServiceTitan numbers.</t>
  </si>
  <si>
    <t xml:space="preserve">THE 5 LEVERS THAT MOVE THIS MODEL</t>
  </si>
  <si>
    <t xml:space="preserve">1. Avg job value — feed real booked-job revenue from ServiceTitan back into Google (Ads Optimizer /</t>
  </si>
  <si>
    <t xml:space="preserve">   Revenue Import). Bidding to value, not call duration, is the single biggest scaling lever.</t>
  </si>
  <si>
    <t xml:space="preserve">2. Booking rate — answer rate + speed-to-lead. LSA leads called back in under 2 min book ~60% more.</t>
  </si>
  <si>
    <t xml:space="preserve">3. CPL — match-type expansion (phrase/broad + Smart Bidding) and Quality Score lower cost per lead.</t>
  </si>
  <si>
    <t xml:space="preserve">4. Spend — only scale a channel once its cost-per-booked-job is profitable and dispatch can absorb volume.</t>
  </si>
  <si>
    <t xml:space="preserve">5. Channel mix — Search has a demand ceiling; LSA + PMax/Demand Gen + geo expansion break past it.</t>
  </si>
  <si>
    <t xml:space="preserve">TABS</t>
  </si>
  <si>
    <t xml:space="preserve">• Target Model — the full-scale state: each Google channel's spend, leads, booked jobs and revenue.</t>
  </si>
  <si>
    <t xml:space="preserve">• Ramp Plan — quarter-by-quarter budget and revenue build from now (Q3-26) to full scale.</t>
  </si>
  <si>
    <t xml:space="preserve">• Unit Economics — the max cost-per-job you can pay at target margin and with membership LTV.</t>
  </si>
  <si>
    <t xml:space="preserve">These are editable planning assumptions, NOT guarantees. Replace them with Everest's actuals (avg ticket,</t>
  </si>
  <si>
    <t xml:space="preserve">close rate, current CPLs) as they come in. Benchmark sources are listed in the companion critique doc.</t>
  </si>
  <si>
    <t xml:space="preserve">TARGET MODEL — Everest at full scale (annualized)</t>
  </si>
  <si>
    <t xml:space="preserve">Blue = input. Edit spend, CPL, booking % and avg job value; everything else recalculates.</t>
  </si>
  <si>
    <t xml:space="preserve">Channel</t>
  </si>
  <si>
    <t xml:space="preserve">Monthly
Spend</t>
  </si>
  <si>
    <t xml:space="preserve">CPL</t>
  </si>
  <si>
    <t xml:space="preserve">Leads
/mo</t>
  </si>
  <si>
    <t xml:space="preserve">Booking
%</t>
  </si>
  <si>
    <t xml:space="preserve">Booked
Jobs/mo</t>
  </si>
  <si>
    <t xml:space="preserve">Avg Job
Value</t>
  </si>
  <si>
    <t xml:space="preserve">Revenue
/mo</t>
  </si>
  <si>
    <t xml:space="preserve">CAC
(cost/job)</t>
  </si>
  <si>
    <t xml:space="preserve">ROAS</t>
  </si>
  <si>
    <t xml:space="preserve">Annual
Spend</t>
  </si>
  <si>
    <t xml:space="preserve">Annual
Revenue</t>
  </si>
  <si>
    <t xml:space="preserve">Brand Search</t>
  </si>
  <si>
    <t xml:space="preserve">Core Search (Emerg.+Service)</t>
  </si>
  <si>
    <t xml:space="preserve">Local Services Ads (LSA)</t>
  </si>
  <si>
    <t xml:space="preserve">Performance Max / Demand Gen</t>
  </si>
  <si>
    <t xml:space="preserve">Google Subtotal</t>
  </si>
  <si>
    <t xml:space="preserve">RECONCILE TO COMPANY TARGET</t>
  </si>
  <si>
    <t xml:space="preserve">Google annual revenue</t>
  </si>
  <si>
    <t xml:space="preserve">Non-Google revenue (Meta, organic/POV, commercial, membership/repeat, referral)</t>
  </si>
  <si>
    <t xml:space="preserve">TOTAL COMPANY REVENUE</t>
  </si>
  <si>
    <t xml:space="preserve">Company target</t>
  </si>
  <si>
    <t xml:space="preserve">Variance vs target</t>
  </si>
  <si>
    <t xml:space="preserve">Google annual ad spend</t>
  </si>
  <si>
    <t xml:space="preserve">Google blended ROAS</t>
  </si>
  <si>
    <t xml:space="preserve">Google as % of total revenue</t>
  </si>
  <si>
    <t xml:space="preserve">RAMP PLAN — phasing Google budget from now to full scale</t>
  </si>
  <si>
    <t xml:space="preserve">Quarterly Google ad spend and resulting revenue. Scale a channel only when its cost-per-job stays profitable.</t>
  </si>
  <si>
    <t xml:space="preserve">Quarter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</si>
  <si>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</si>
  <si>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</si>
  <si>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</si>
  <si>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</si>
  <si>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</si>
  <si>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</si>
  <si>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Brand Search (mo spend)</t>
  </si>
  <si>
    <t xml:space="preserve">Core Search (mo spend)</t>
  </si>
  <si>
    <t xml:space="preserve">LSA (mo spend)</t>
  </si>
  <si>
    <t xml:space="preserve">PMax / Demand Gen (mo spend)</t>
  </si>
  <si>
    <t xml:space="preserve">Total monthly Google spend</t>
  </si>
  <si>
    <t xml:space="preserve">Blended ROAS (improves as ServiceTitan revenue import + optimization mature)</t>
  </si>
  <si>
    <t xml:space="preserve">Quarterly Google revenue</t>
  </si>
  <si>
    <t xml:space="preserve">Annualized Google run-rate</t>
  </si>
  <si>
    <t xml:space="preserve">Trailing-4Q Google revenue (at Q4-27)</t>
  </si>
  <si>
    <t xml:space="preserve">Implied non-Google revenue needed for $20M</t>
  </si>
  <si>
    <t xml:space="preserve">UNIT ECONOMICS — what you can afford to pay per booked job</t>
  </si>
  <si>
    <t xml:space="preserve">Sets the ceiling for cost-per-job. Compare against each channel's CAC on the Target Model tab.</t>
  </si>
  <si>
    <t xml:space="preserve">Blended avg job value</t>
  </si>
  <si>
    <t xml:space="preserve">Gross margin %</t>
  </si>
  <si>
    <t xml:space="preserve">Gross profit per job</t>
  </si>
  <si>
    <t xml:space="preserve">Target marketing spend as % of revenue</t>
  </si>
  <si>
    <t xml:space="preserve">Max CAC at target marketing % (single job)</t>
  </si>
  <si>
    <t xml:space="preserve">Repeat / LTV multiplier (membership, repeat work)</t>
  </si>
  <si>
    <t xml:space="preserve">Customer lifetime value (LTV)</t>
  </si>
  <si>
    <t xml:space="preserve">Max CAC on LTV basis (at target marketing %)</t>
  </si>
  <si>
    <t xml:space="preserve">Max CAC on gross-profit basis (spend up to X% of GP)</t>
  </si>
  <si>
    <t xml:space="preserve">  % of gross profit allowed for acquisition</t>
  </si>
  <si>
    <t xml:space="preserve">  Max CAC (single job, GP basis)</t>
  </si>
  <si>
    <t xml:space="preserve">READ THIS:</t>
  </si>
  <si>
    <t xml:space="preserve">• Single-job math says keep CAC under the target-marketing-% line. LSA (~$140) and Core Search</t>
  </si>
  <si>
    <t xml:space="preserve">  (~$300) both clear that comfortably; PMax (~$530) only works if you count LTV.</t>
  </si>
  <si>
    <t xml:space="preserve">• Because Everest has membership + repeat work, the LTV-based max CAC is the number that justifies</t>
  </si>
  <si>
    <t xml:space="preserve">  scaling spend on higher-cost channels. Validate the 1.8x multiplier with ServiceTitan repeat-rate data.</t>
  </si>
  <si>
    <t xml:space="preserve">• If a channel's CAC on the Target Model tab exceeds your LTV-based max, fix booking rate / avg value</t>
  </si>
  <si>
    <t xml:space="preserve">  or cut that channel's spend before scaling it.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</si>
</sst>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"/>
    <numFmt numFmtId="168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/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6"/>
  </cols>
  <sheetData>
    <row r="2" customFormat="false" ht="17.35" hidden="false" customHeight="false" outlineLevel="0" collapsed="false">
      <c r="B2" s="5" t="s">
        <v>22</v>
      </c>
    </row>
    <row r="3" customFormat="false" ht="15" hidden="false" customHeight="false" outlineLevel="0" collapsed="false">
      <c r="B3" s="2" t="s">
        <v>23</v>
      </c>
    </row>
    <row r="5" customFormat="false" ht="23.85" hidden="false" customHeight="false" outlineLevel="0" collapsed="false"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6"/>
      <c r="M5" s="6" t="s">
        <v>34</v>
      </c>
      <c r="N5" s="6" t="s">
        <v>35</v>
      </c>
    </row>
    <row r="6" customFormat="false" ht="15" hidden="false" customHeight="false" outlineLevel="0" collapsed="false">
      <c r="B6" s="7" t="s">
        <v>36</v>
      </c>
      <c r="C6" s="8" t="n">
        <v>2000</v>
      </c>
      <c r="D6" s="8" t="n">
        <v>10</v>
      </c>
      <c r="E6" s="9" t="n">
        <f aca="false">C6/D6</f>
        <v>200</v>
      </c>
      <c r="F6" s="10" t="n">
        <v>0.45</v>
      </c>
      <c r="G6" s="9" t="n">
        <f aca="false">E6*F6</f>
        <v>90</v>
      </c>
      <c r="H6" s="8" t="n">
        <v>700</v>
      </c>
      <c r="I6" s="11" t="n">
        <f aca="false">G6*H6</f>
        <v>63000</v>
      </c>
      <c r="J6" s="11" t="n">
        <f aca="false">IF(G6=0,0,C6/G6)</f>
        <v>22.2222222222222</v>
      </c>
      <c r="K6" s="12" t="n">
        <f aca="false">IF(C6=0,0,I6/C6)</f>
        <v>31.5</v>
      </c>
      <c r="L6" s="4"/>
      <c r="M6" s="11" t="n">
        <f aca="false">C6*12</f>
        <v>24000</v>
      </c>
      <c r="N6" s="11" t="n">
        <f aca="false">I6*12</f>
        <v>756000</v>
      </c>
    </row>
    <row r="7" customFormat="false" ht="15" hidden="false" customHeight="false" outlineLevel="0" collapsed="false">
      <c r="B7" s="7" t="s">
        <v>37</v>
      </c>
      <c r="C7" s="8" t="n">
        <v>70000</v>
      </c>
      <c r="D7" s="8" t="n">
        <v>115</v>
      </c>
      <c r="E7" s="9" t="n">
        <f aca="false">C7/D7</f>
        <v>608.695652173913</v>
      </c>
      <c r="F7" s="10" t="n">
        <v>0.38</v>
      </c>
      <c r="G7" s="9" t="n">
        <f aca="false">E7*F7</f>
        <v>231.304347826087</v>
      </c>
      <c r="H7" s="8" t="n">
        <v>1050</v>
      </c>
      <c r="I7" s="11" t="n">
        <f aca="false">G7*H7</f>
        <v>242869.565217391</v>
      </c>
      <c r="J7" s="11" t="n">
        <f aca="false">IF(G7=0,0,C7/G7)</f>
        <v>302.631578947368</v>
      </c>
      <c r="K7" s="12" t="n">
        <f aca="false">IF(C7=0,0,I7/C7)</f>
        <v>3.4695652173913</v>
      </c>
      <c r="L7" s="4"/>
      <c r="M7" s="11" t="n">
        <f aca="false">C7*12</f>
        <v>840000</v>
      </c>
      <c r="N7" s="11" t="n">
        <f aca="false">I7*12</f>
        <v>2914434.7826087</v>
      </c>
    </row>
    <row r="8" customFormat="false" ht="15" hidden="false" customHeight="false" outlineLevel="0" collapsed="false">
      <c r="B8" s="7" t="s">
        <v>38</v>
      </c>
      <c r="C8" s="8" t="n">
        <v>45000</v>
      </c>
      <c r="D8" s="8" t="n">
        <v>70</v>
      </c>
      <c r="E8" s="9" t="n">
        <f aca="false">C8/D8</f>
        <v>642.857142857143</v>
      </c>
      <c r="F8" s="10" t="n">
        <v>0.5</v>
      </c>
      <c r="G8" s="9" t="n">
        <f aca="false">E8*F8</f>
        <v>321.428571428571</v>
      </c>
      <c r="H8" s="8" t="n">
        <v>700</v>
      </c>
      <c r="I8" s="11" t="n">
        <f aca="false">G8*H8</f>
        <v>225000</v>
      </c>
      <c r="J8" s="11" t="n">
        <f aca="false">IF(G8=0,0,C8/G8)</f>
        <v>140</v>
      </c>
      <c r="K8" s="12" t="n">
        <f aca="false">IF(C8=0,0,I8/C8)</f>
        <v>5</v>
      </c>
      <c r="L8" s="4"/>
      <c r="M8" s="11" t="n">
        <f aca="false">C8*12</f>
        <v>540000</v>
      </c>
      <c r="N8" s="11" t="n">
        <f aca="false">I8*12</f>
        <v>2700000</v>
      </c>
    </row>
    <row r="9" customFormat="false" ht="15" hidden="false" customHeight="false" outlineLevel="0" collapsed="false">
      <c r="B9" s="7" t="s">
        <v>39</v>
      </c>
      <c r="C9" s="8" t="n">
        <v>30000</v>
      </c>
      <c r="D9" s="8" t="n">
        <v>160</v>
      </c>
      <c r="E9" s="9" t="n">
        <f aca="false">C9/D9</f>
        <v>187.5</v>
      </c>
      <c r="F9" s="10" t="n">
        <v>0.3</v>
      </c>
      <c r="G9" s="9" t="n">
        <f aca="false">E9*F9</f>
        <v>56.25</v>
      </c>
      <c r="H9" s="8" t="n">
        <v>1100</v>
      </c>
      <c r="I9" s="11" t="n">
        <f aca="false">G9*H9</f>
        <v>61875</v>
      </c>
      <c r="J9" s="11" t="n">
        <f aca="false">IF(G9=0,0,C9/G9)</f>
        <v>533.333333333333</v>
      </c>
      <c r="K9" s="12" t="n">
        <f aca="false">IF(C9=0,0,I9/C9)</f>
        <v>2.0625</v>
      </c>
      <c r="L9" s="4"/>
      <c r="M9" s="11" t="n">
        <f aca="false">C9*12</f>
        <v>360000</v>
      </c>
      <c r="N9" s="11" t="n">
        <f aca="false">I9*12</f>
        <v>742500</v>
      </c>
    </row>
    <row r="10" customFormat="false" ht="15" hidden="false" customHeight="false" outlineLevel="0" collapsed="false">
      <c r="B10" s="13" t="s">
        <v>40</v>
      </c>
      <c r="C10" s="14" t="n">
        <f aca="false">SUM(C6:C9)</f>
        <v>147000</v>
      </c>
      <c r="D10" s="15"/>
      <c r="E10" s="16" t="n">
        <f aca="false">SUM(E6:E9)</f>
        <v>1639.05279503106</v>
      </c>
      <c r="F10" s="15"/>
      <c r="G10" s="16" t="n">
        <f aca="false">SUM(G6:G9)</f>
        <v>698.982919254658</v>
      </c>
      <c r="H10" s="15"/>
      <c r="I10" s="14" t="n">
        <f aca="false">SUM(I6:I9)</f>
        <v>592744.565217391</v>
      </c>
      <c r="J10" s="14" t="n">
        <f aca="false">IF(G10=0,0,C10/G10)</f>
        <v>210.3055682058</v>
      </c>
      <c r="K10" s="17" t="n">
        <f aca="false">IF(C10=0,0,I10/C10)</f>
        <v>4.03227595385981</v>
      </c>
      <c r="L10" s="4"/>
      <c r="M10" s="14" t="n">
        <f aca="false">C10*12</f>
        <v>1764000</v>
      </c>
      <c r="N10" s="14" t="n">
        <f aca="false">I10*12</f>
        <v>7112934.7826087</v>
      </c>
    </row>
    <row r="12" customFormat="false" ht="15" hidden="false" customHeight="false" outlineLevel="0" collapsed="false">
      <c r="B12" s="18" t="s">
        <v>41</v>
      </c>
    </row>
    <row r="13" customFormat="false" ht="15" hidden="false" customHeight="false" outlineLevel="0" collapsed="false">
      <c r="B13" s="7" t="s">
        <v>42</v>
      </c>
      <c r="N13" s="19" t="n">
        <f aca="false">N10</f>
        <v>7112934.7826087</v>
      </c>
    </row>
    <row r="14" customFormat="false" ht="15" hidden="false" customHeight="false" outlineLevel="0" collapsed="false">
      <c r="B14" s="7" t="s">
        <v>43</v>
      </c>
      <c r="N14" s="8" t="n">
        <v>12940000</v>
      </c>
    </row>
    <row r="15" customFormat="false" ht="15" hidden="false" customHeight="false" outlineLevel="0" collapsed="false">
      <c r="B15" s="20" t="s">
        <v>44</v>
      </c>
      <c r="L15" s="21"/>
      <c r="M15" s="21"/>
      <c r="N15" s="22" t="n">
        <f aca="false">N13+N14</f>
        <v>20052934.7826087</v>
      </c>
    </row>
    <row r="16" customFormat="false" ht="15" hidden="false" customHeight="false" outlineLevel="0" collapsed="false">
      <c r="B16" s="23" t="s">
        <v>45</v>
      </c>
      <c r="N16" s="24" t="n">
        <v>20000000</v>
      </c>
    </row>
    <row r="17" customFormat="false" ht="15" hidden="false" customHeight="false" outlineLevel="0" collapsed="false">
      <c r="B17" s="23" t="s">
        <v>46</v>
      </c>
      <c r="N17" s="25" t="n">
        <f aca="false">N15-N16</f>
        <v>52934.7826086953</v>
      </c>
    </row>
    <row r="19" customFormat="false" ht="15" hidden="false" customHeight="false" outlineLevel="0" collapsed="false">
      <c r="B19" s="7" t="s">
        <v>47</v>
      </c>
      <c r="N19" s="19" t="n">
        <f aca="false">M10</f>
        <v>1764000</v>
      </c>
    </row>
    <row r="20" customFormat="false" ht="15" hidden="false" customHeight="false" outlineLevel="0" collapsed="false">
      <c r="B20" s="7" t="s">
        <v>48</v>
      </c>
      <c r="N20" s="12" t="n">
        <f aca="false">N10/M10</f>
        <v>4.03227595385981</v>
      </c>
    </row>
    <row r="21" customFormat="false" ht="15" hidden="false" customHeight="false" outlineLevel="0" collapsed="false">
      <c r="B21" s="7" t="s">
        <v>49</v>
      </c>
      <c r="N21" s="26" t="n">
        <f aca="false">N13/N15</f>
        <v>0.354707919799227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0" min="3" style="0" width="13"/>
  </cols>
  <sheetData>
    <row r="2" customFormat="false" ht="17.35" hidden="false" customHeight="false" outlineLevel="0" collapsed="false">
      <c r="B2" s="5" t="s">
        <v>50</v>
      </c>
    </row>
    <row r="3" customFormat="false" ht="15" hidden="false" customHeight="false" outlineLevel="0" collapsed="false">
      <c r="B3" s="2" t="s">
        <v>51</v>
      </c>
    </row>
    <row r="5" customFormat="false" ht="15" hidden="false" customHeight="false" outlineLevel="0" collapsed="false"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</row>
    <row r="6" customFormat="false" ht="15" hidden="false" customHeight="false" outlineLevel="0" collapsed="false">
      <c r="B6" s="7" t="s">
        <v>59</v>
      </c>
      <c r="C6" s="8" t="n">
        <v>1500</v>
      </c>
      <c r="D6" s="8" t="n">
        <v>1700</v>
      </c>
      <c r="E6" s="8" t="n">
        <v>1800</v>
      </c>
      <c r="F6" s="8" t="n">
        <v>1900</v>
      </c>
      <c r="G6" s="8" t="n">
        <v>2000</v>
      </c>
      <c r="H6" s="8" t="n">
        <v>2000</v>
      </c>
    </row>
    <row r="7" customFormat="false" ht="15" hidden="false" customHeight="false" outlineLevel="0" collapsed="false">
      <c r="B7" s="7" t="s">
        <v>60</v>
      </c>
      <c r="C7" s="8" t="n">
        <v>30000</v>
      </c>
      <c r="D7" s="8" t="n">
        <v>40000</v>
      </c>
      <c r="E7" s="8" t="n">
        <v>50000</v>
      </c>
      <c r="F7" s="8" t="n">
        <v>58000</v>
      </c>
      <c r="G7" s="8" t="n">
        <v>65000</v>
      </c>
      <c r="H7" s="8" t="n">
        <v>70000</v>
      </c>
    </row>
    <row r="8" customFormat="false" ht="15" hidden="false" customHeight="false" outlineLevel="0" collapsed="false">
      <c r="B8" s="7" t="s">
        <v>61</v>
      </c>
      <c r="C8" s="8" t="n">
        <v>20000</v>
      </c>
      <c r="D8" s="8" t="n">
        <v>28000</v>
      </c>
      <c r="E8" s="8" t="n">
        <v>34000</v>
      </c>
      <c r="F8" s="8" t="n">
        <v>40000</v>
      </c>
      <c r="G8" s="8" t="n">
        <v>43000</v>
      </c>
      <c r="H8" s="8" t="n">
        <v>45000</v>
      </c>
    </row>
    <row r="9" customFormat="false" ht="15" hidden="false" customHeight="false" outlineLevel="0" collapsed="false">
      <c r="B9" s="7" t="s">
        <v>62</v>
      </c>
      <c r="C9" s="8" t="n">
        <v>5000</v>
      </c>
      <c r="D9" s="8" t="n">
        <v>12000</v>
      </c>
      <c r="E9" s="8" t="n">
        <v>18000</v>
      </c>
      <c r="F9" s="8" t="n">
        <v>24000</v>
      </c>
      <c r="G9" s="8" t="n">
        <v>28000</v>
      </c>
      <c r="H9" s="8" t="n">
        <v>30000</v>
      </c>
    </row>
    <row r="10" customFormat="false" ht="15" hidden="false" customHeight="false" outlineLevel="0" collapsed="false">
      <c r="B10" s="13" t="s">
        <v>63</v>
      </c>
      <c r="C10" s="14" t="n">
        <f aca="false">SUM(C6:C9)</f>
        <v>56500</v>
      </c>
      <c r="D10" s="14" t="n">
        <f aca="false">SUM(D6:D9)</f>
        <v>81700</v>
      </c>
      <c r="E10" s="14" t="n">
        <f aca="false">SUM(E6:E9)</f>
        <v>103800</v>
      </c>
      <c r="F10" s="14" t="n">
        <f aca="false">SUM(F6:F9)</f>
        <v>123900</v>
      </c>
      <c r="G10" s="14" t="n">
        <f aca="false">SUM(G6:G9)</f>
        <v>138000</v>
      </c>
      <c r="H10" s="14" t="n">
        <f aca="false">SUM(H6:H9)</f>
        <v>147000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7" t="s">
        <v>64</v>
      </c>
      <c r="C12" s="27" t="n">
        <v>2.8</v>
      </c>
      <c r="D12" s="27" t="n">
        <v>3.2</v>
      </c>
      <c r="E12" s="27" t="n">
        <v>3.5</v>
      </c>
      <c r="F12" s="27" t="n">
        <v>3.7</v>
      </c>
      <c r="G12" s="27" t="n">
        <v>3.9</v>
      </c>
      <c r="H12" s="27" t="n">
        <v>4</v>
      </c>
    </row>
    <row r="13" customFormat="false" ht="15" hidden="false" customHeight="false" outlineLevel="0" collapsed="false">
      <c r="B13" s="20" t="s">
        <v>65</v>
      </c>
      <c r="C13" s="22" t="n">
        <f aca="false">C10*3*C12</f>
        <v>474600</v>
      </c>
      <c r="D13" s="22" t="n">
        <f aca="false">D10*3*D12</f>
        <v>784320</v>
      </c>
      <c r="E13" s="22" t="n">
        <f aca="false">E10*3*E12</f>
        <v>1089900</v>
      </c>
      <c r="F13" s="22" t="n">
        <f aca="false">F10*3*F12</f>
        <v>1375290</v>
      </c>
      <c r="G13" s="22" t="n">
        <f aca="false">G10*3*G12</f>
        <v>1614600</v>
      </c>
      <c r="H13" s="22" t="n">
        <f aca="false">H10*3*H12</f>
        <v>1764000</v>
      </c>
    </row>
    <row r="14" customFormat="false" ht="15" hidden="false" customHeight="false" outlineLevel="0" collapsed="false">
      <c r="B14" s="23" t="s">
        <v>66</v>
      </c>
      <c r="C14" s="25" t="n">
        <f aca="false">C13*4</f>
        <v>1898400</v>
      </c>
      <c r="D14" s="25" t="n">
        <f aca="false">D13*4</f>
        <v>3137280</v>
      </c>
      <c r="E14" s="25" t="n">
        <f aca="false">E13*4</f>
        <v>4359600</v>
      </c>
      <c r="F14" s="25" t="n">
        <f aca="false">F13*4</f>
        <v>5501160</v>
      </c>
      <c r="G14" s="25" t="n">
        <f aca="false">G13*4</f>
        <v>6458400</v>
      </c>
      <c r="H14" s="25" t="n">
        <f aca="false">H13*4</f>
        <v>7056000</v>
      </c>
    </row>
    <row r="16" customFormat="false" ht="15" hidden="false" customHeight="false" outlineLevel="0" collapsed="false">
      <c r="B16" s="28" t="s">
        <v>67</v>
      </c>
      <c r="C16" s="29" t="n">
        <f aca="false">SUM(E13:H13)</f>
        <v>5843790</v>
      </c>
    </row>
    <row r="17" customFormat="false" ht="15" hidden="false" customHeight="false" outlineLevel="0" collapsed="false">
      <c r="B17" s="7" t="s">
        <v>68</v>
      </c>
      <c r="C17" s="11" t="n">
        <f aca="false">20000000-C16</f>
        <v>14156210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5" t="s">
        <v>69</v>
      </c>
    </row>
    <row r="3" customFormat="false" ht="15" hidden="false" customHeight="false" outlineLevel="0" collapsed="false">
      <c r="B3" s="2" t="s">
        <v>70</v>
      </c>
    </row>
    <row r="6" customFormat="false" ht="15" hidden="false" customHeight="false" outlineLevel="0" collapsed="false">
      <c r="B6" s="7" t="s">
        <v>71</v>
      </c>
      <c r="C6" s="8" t="n">
        <v>950</v>
      </c>
    </row>
    <row r="7" customFormat="false" ht="15" hidden="false" customHeight="false" outlineLevel="0" collapsed="false">
      <c r="B7" s="7" t="s">
        <v>72</v>
      </c>
      <c r="C7" s="10" t="n">
        <v>0.5</v>
      </c>
    </row>
    <row r="8" customFormat="false" ht="15" hidden="false" customHeight="false" outlineLevel="0" collapsed="false">
      <c r="B8" s="7" t="s">
        <v>73</v>
      </c>
      <c r="C8" s="11" t="n">
        <f aca="false">C6*C7</f>
        <v>475</v>
      </c>
    </row>
    <row r="9" customFormat="false" ht="15" hidden="false" customHeight="false" outlineLevel="0" collapsed="false">
      <c r="B9" s="7" t="s">
        <v>74</v>
      </c>
      <c r="C9" s="10" t="n">
        <v>0.12</v>
      </c>
    </row>
    <row r="10" customFormat="false" ht="15" hidden="false" customHeight="false" outlineLevel="0" collapsed="false">
      <c r="B10" s="28" t="s">
        <v>75</v>
      </c>
      <c r="C10" s="29" t="n">
        <f aca="false">C6*C9</f>
        <v>114</v>
      </c>
    </row>
    <row r="12" customFormat="false" ht="15" hidden="false" customHeight="false" outlineLevel="0" collapsed="false">
      <c r="B12" s="7" t="s">
        <v>76</v>
      </c>
      <c r="C12" s="27" t="n">
        <v>1.8</v>
      </c>
    </row>
    <row r="13" customFormat="false" ht="15" hidden="false" customHeight="false" outlineLevel="0" collapsed="false">
      <c r="B13" s="7" t="s">
        <v>77</v>
      </c>
      <c r="C13" s="11" t="n">
        <f aca="false">C6*C12</f>
        <v>1710</v>
      </c>
    </row>
    <row r="14" customFormat="false" ht="15" hidden="false" customHeight="false" outlineLevel="0" collapsed="false">
      <c r="B14" s="28" t="s">
        <v>78</v>
      </c>
      <c r="C14" s="29" t="n">
        <f aca="false">C13*C9</f>
        <v>205.2</v>
      </c>
    </row>
    <row r="16" customFormat="false" ht="15" hidden="false" customHeight="false" outlineLevel="0" collapsed="false">
      <c r="B16" s="7" t="s">
        <v>79</v>
      </c>
      <c r="C16" s="4"/>
    </row>
    <row r="17" customFormat="false" ht="15" hidden="false" customHeight="false" outlineLevel="0" collapsed="false">
      <c r="B17" s="7" t="s">
        <v>80</v>
      </c>
      <c r="C17" s="10" t="n">
        <v>0.35</v>
      </c>
    </row>
    <row r="18" customFormat="false" ht="15" hidden="false" customHeight="false" outlineLevel="0" collapsed="false">
      <c r="B18" s="28" t="s">
        <v>81</v>
      </c>
      <c r="C18" s="29" t="n">
        <f aca="false">C8*C17</f>
        <v>166.25</v>
      </c>
    </row>
    <row r="20" customFormat="false" ht="15" hidden="false" customHeight="false" outlineLevel="0" collapsed="false">
      <c r="B20" s="18" t="s">
        <v>82</v>
      </c>
    </row>
    <row r="21" customFormat="false" ht="15" hidden="false" customHeight="false" outlineLevel="0" collapsed="false">
      <c r="B21" s="30" t="s">
        <v>83</v>
      </c>
    </row>
    <row r="22" customFormat="false" ht="15" hidden="false" customHeight="false" outlineLevel="0" collapsed="false">
      <c r="B22" s="30" t="s">
        <v>84</v>
      </c>
    </row>
    <row r="23" customFormat="false" ht="15" hidden="false" customHeight="false" outlineLevel="0" collapsed="false">
      <c r="B23" s="30" t="s">
        <v>85</v>
      </c>
    </row>
    <row r="24" customFormat="false" ht="15" hidden="false" customHeight="false" outlineLevel="0" collapsed="false">
      <c r="B24" s="30" t="s">
        <v>86</v>
      </c>
    </row>
    <row r="25" customFormat="false" ht="15" hidden="false" customHeight="false" outlineLevel="0" collapsed="false">
      <c r="B25" s="30" t="s">
        <v>87</v>
      </c>
    </row>
    <row r="26" customFormat="false" ht="15" hidden="false" customHeight="false" outlineLevel="0" collapsed="false">
      <c r="B26" s="3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2026-06-29T18:57:59Z</dcterms:created>
  <dc:creator>openpyxl</dc:creator>
  <dc:description/>
  <dc:language>en-US</dc:language>
  <cp:lastModifiedBy/>
  <dcterms:modified xsi:type="dcterms:W3CDTF">2026-06-29T18:57:59Z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